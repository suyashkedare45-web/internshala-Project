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8954e1219823c31/Desktop/MBA SEM 1 MCQ/R lectures/"/>
    </mc:Choice>
  </mc:AlternateContent>
  <xr:revisionPtr revIDLastSave="443" documentId="8_{5A0B802A-C2D1-4F3A-A2B6-14E298AD9FEE}" xr6:coauthVersionLast="47" xr6:coauthVersionMax="47" xr10:uidLastSave="{305CD442-E02A-448F-B186-7833A93EAD7A}"/>
  <bookViews>
    <workbookView xWindow="-108" yWindow="-108" windowWidth="23256" windowHeight="12456" firstSheet="4" activeTab="4" xr2:uid="{00000000-000D-0000-FFFF-FFFF00000000}"/>
  </bookViews>
  <sheets>
    <sheet name="Task1" sheetId="4" r:id="rId1"/>
    <sheet name="Task2" sheetId="5" r:id="rId2"/>
    <sheet name="Task3" sheetId="6" r:id="rId3"/>
    <sheet name="Task4" sheetId="11" r:id="rId4"/>
    <sheet name="Task6" sheetId="14" r:id="rId5"/>
    <sheet name="Posts" sheetId="1" r:id="rId6"/>
    <sheet name="Campaign analysis Task5" sheetId="13" r:id="rId7"/>
    <sheet name="Engagement Summary" sheetId="2" r:id="rId8"/>
    <sheet name="Campaign Metadata" sheetId="3" r:id="rId9"/>
  </sheets>
  <definedNames>
    <definedName name="_xlnm._FilterDatabase" localSheetId="8" hidden="1">'Campaign Metadata'!$A$1:$G$5</definedName>
    <definedName name="_xlnm._FilterDatabase" localSheetId="5" hidden="1">Posts!$I$1:$I$1000</definedName>
  </definedNames>
  <calcPr calcId="191029"/>
  <pivotCaches>
    <pivotCache cacheId="4" r:id="rId10"/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3" l="1"/>
  <c r="I4" i="13"/>
  <c r="I3" i="13"/>
  <c r="I2" i="13"/>
  <c r="D12" i="13"/>
  <c r="D13" i="13"/>
  <c r="D14" i="13"/>
  <c r="D11" i="13"/>
  <c r="C14" i="13"/>
  <c r="C13" i="13"/>
  <c r="C12" i="13"/>
  <c r="C11" i="13"/>
  <c r="B14" i="13"/>
  <c r="B13" i="13"/>
  <c r="B12" i="13"/>
  <c r="B11" i="13"/>
  <c r="F5" i="13"/>
  <c r="F4" i="13"/>
  <c r="F3" i="13"/>
  <c r="F2" i="13"/>
  <c r="G3" i="13"/>
  <c r="H3" i="13" s="1"/>
  <c r="G4" i="13"/>
  <c r="H4" i="13" s="1"/>
  <c r="G5" i="13"/>
  <c r="H5" i="13" s="1"/>
  <c r="G2" i="13"/>
  <c r="H2" i="13" s="1"/>
  <c r="E3" i="13"/>
  <c r="E4" i="13"/>
  <c r="E5" i="13"/>
  <c r="E2" i="13"/>
  <c r="D2" i="13"/>
  <c r="D3" i="13"/>
  <c r="D4" i="13"/>
  <c r="D5" i="13"/>
  <c r="C3" i="13"/>
  <c r="C4" i="13"/>
  <c r="C5" i="13"/>
  <c r="C2" i="13"/>
  <c r="B3" i="13"/>
  <c r="B4" i="13"/>
  <c r="B5" i="13"/>
  <c r="B2" i="13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</calcChain>
</file>

<file path=xl/sharedStrings.xml><?xml version="1.0" encoding="utf-8"?>
<sst xmlns="http://schemas.openxmlformats.org/spreadsheetml/2006/main" count="2297" uniqueCount="633">
  <si>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</si>
  <si>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</si>
  <si>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</si>
  <si>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</si>
  <si>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</si>
  <si>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</si>
  <si>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</si>
  <si>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</si>
  <si>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</si>
  <si>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</si>
  <si>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</si>
  <si>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</si>
  <si>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</si>
  <si>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</si>
  <si>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</si>
  <si>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</si>
  <si>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</si>
  <si>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</si>
  <si>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CybertruckLaunch</t>
  </si>
  <si>
    <t>P002</t>
  </si>
  <si>
    <t>2025-04-03</t>
  </si>
  <si>
    <t>Text</t>
  </si>
  <si>
    <t>Check out our latest text on twitter!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</si>
  <si>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</si>
  <si>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</si>
  <si>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</si>
  <si>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</si>
  <si>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</si>
  <si>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</si>
  <si>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</si>
  <si>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</si>
  <si>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</si>
  <si>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</si>
  <si>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</si>
  <si>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</si>
  <si>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</si>
  <si>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</si>
  <si>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</si>
  <si>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</si>
  <si>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</si>
  <si>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</si>
  <si>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</si>
  <si>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</si>
  <si>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</si>
  <si>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</si>
  <si>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</si>
  <si>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</si>
  <si>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</si>
  <si>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</si>
  <si>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</si>
  <si>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</si>
  <si>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</si>
  <si>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</si>
  <si>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</si>
  <si>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</si>
  <si>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</si>
  <si>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</si>
  <si>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</si>
  <si>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</si>
  <si>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</si>
  <si>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</si>
  <si>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</si>
  <si>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</si>
  <si>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</si>
  <si>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</si>
  <si>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</si>
  <si>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</si>
  <si>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</si>
  <si>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</si>
  <si>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</si>
  <si>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</si>
  <si>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</si>
  <si>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</si>
  <si>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</si>
  <si>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</si>
  <si>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</si>
  <si>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</si>
  <si>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</si>
  <si>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</si>
  <si>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</si>
  <si>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</si>
  <si>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</si>
  <si>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</si>
  <si>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</si>
  <si>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</si>
  <si>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</si>
  <si>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</si>
  <si>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</si>
  <si>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</si>
  <si>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</si>
  <si>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</si>
  <si>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</si>
  <si>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</si>
  <si>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</si>
  <si>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</si>
  <si>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</si>
  <si>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</si>
  <si>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</si>
  <si>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</si>
  <si>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</si>
  <si>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</si>
  <si>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</si>
  <si>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</si>
  <si>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</si>
  <si>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</si>
  <si>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</si>
  <si>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</si>
  <si>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</si>
  <si>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</si>
  <si>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</si>
  <si>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</si>
  <si>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</si>
  <si>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</si>
  <si>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</si>
  <si>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</si>
  <si>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</si>
  <si>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</si>
  <si>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</si>
  <si>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</si>
  <si>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</si>
  <si>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</si>
  <si>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</si>
  <si>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</si>
  <si>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</si>
  <si>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</si>
  <si>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</si>
  <si>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</si>
  <si>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</si>
  <si>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</si>
  <si>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</si>
  <si>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</si>
  <si>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</si>
  <si>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</si>
  <si>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</si>
  <si>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</si>
  <si>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</si>
  <si>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</si>
  <si>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</si>
  <si>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</si>
  <si>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</si>
  <si>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</si>
  <si>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</si>
  <si>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</si>
  <si>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</si>
  <si>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</si>
  <si>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</si>
  <si>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</si>
  <si>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</si>
  <si>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</si>
  <si>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</si>
  <si>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</si>
  <si>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</si>
  <si>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</si>
  <si>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</si>
  <si>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</si>
  <si>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</si>
  <si>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</si>
  <si>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</si>
  <si>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</si>
  <si>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</si>
  <si>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</si>
  <si>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</si>
  <si>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</si>
  <si>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</si>
  <si>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</si>
  <si>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</si>
  <si>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</si>
  <si>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</si>
  <si>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</si>
  <si>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</si>
  <si>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</si>
  <si>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</si>
  <si>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</si>
  <si>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</si>
  <si>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</si>
  <si>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</si>
  <si>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</si>
  <si>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</si>
  <si>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</si>
  <si>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</si>
  <si>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</si>
  <si>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</si>
  <si>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</si>
  <si>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</si>
  <si>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</si>
  <si>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</si>
  <si>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</si>
  <si>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</si>
  <si>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</si>
  <si>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</si>
  <si>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</si>
  <si>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</si>
  <si>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</si>
  <si>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</si>
  <si>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</si>
  <si>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</si>
  <si>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</si>
  <si>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</si>
  <si>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</si>
  <si>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</si>
  <si>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</si>
  <si>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</si>
  <si>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</si>
  <si>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</si>
  <si>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</si>
  <si>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</si>
  <si>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</si>
  <si>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</si>
  <si>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</si>
  <si>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</si>
  <si>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</si>
  <si>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</si>
  <si>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</si>
  <si>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</si>
  <si>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</si>
  <si>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</si>
  <si>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</si>
  <si>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</si>
  <si>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</si>
  <si>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</si>
  <si>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</si>
  <si>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</si>
  <si>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</si>
  <si>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</si>
  <si>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</si>
  <si>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</si>
  <si>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</si>
  <si>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</si>
  <si>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</si>
  <si>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</si>
  <si>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</si>
  <si>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</si>
  <si>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</si>
  <si>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</si>
  <si>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</si>
  <si>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</si>
  <si>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</si>
  <si>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</si>
  <si>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</si>
  <si>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</si>
  <si>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</si>
  <si>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</si>
  <si>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</si>
  <si>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</si>
  <si>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</si>
  <si>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</si>
  <si>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</si>
  <si>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</si>
  <si>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</si>
  <si>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</si>
  <si>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</si>
  <si>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</si>
  <si>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</si>
  <si>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</si>
  <si>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</si>
  <si>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</si>
  <si>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</si>
  <si>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</si>
  <si>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</si>
  <si>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</si>
  <si>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</si>
  <si>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</si>
  <si>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</si>
  <si>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</si>
  <si>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</si>
  <si>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</si>
  <si>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</si>
  <si>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</si>
  <si>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</si>
  <si>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</si>
  <si>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</si>
  <si>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</si>
  <si>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</si>
  <si>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</si>
  <si>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</si>
  <si>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</si>
  <si>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</si>
  <si>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</si>
  <si>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</si>
  <si>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</si>
  <si>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</si>
  <si>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</si>
  <si>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</si>
  <si>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</si>
  <si>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</si>
  <si>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</si>
  <si>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</si>
  <si>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</si>
  <si>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</si>
  <si>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</si>
  <si>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</si>
  <si>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</si>
  <si>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</si>
  <si>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</si>
  <si>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</si>
  <si>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</si>
  <si>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</si>
  <si>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</si>
  <si>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</si>
  <si>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</si>
  <si>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</si>
  <si>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</si>
  <si>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</si>
  <si>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</si>
  <si>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</si>
  <si>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</si>
  <si>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</si>
  <si>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</si>
  <si>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</si>
  <si>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</si>
  <si>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</si>
  <si>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</si>
  <si>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</si>
  <si>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</si>
  <si>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</si>
  <si>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</si>
  <si>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</si>
  <si>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</si>
  <si>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</si>
  <si>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</si>
  <si>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</si>
  <si>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</si>
  <si>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</si>
  <si>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</si>
  <si>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</si>
  <si>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</si>
  <si>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</si>
  <si>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</si>
  <si>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</si>
  <si>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</si>
  <si>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</si>
  <si>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</si>
  <si>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</si>
  <si>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</si>
  <si>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</si>
  <si>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</si>
  <si>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</si>
  <si>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</si>
  <si>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</si>
  <si>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</si>
  <si>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</si>
  <si>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</si>
  <si>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</si>
  <si>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</si>
  <si>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</si>
  <si>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</si>
  <si>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</si>
  <si>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</si>
  <si>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</si>
  <si>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</si>
  <si>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</si>
  <si>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</si>
  <si>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</si>
  <si>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</si>
  <si>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</si>
  <si>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</si>
  <si>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</si>
  <si>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</si>
  <si>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</si>
  <si>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</si>
  <si>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</si>
  <si>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</si>
  <si>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</si>
  <si>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</si>
  <si>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</si>
  <si>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</si>
  <si>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</si>
  <si>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</si>
  <si>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</si>
  <si>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</si>
  <si>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</si>
  <si>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</si>
  <si>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</si>
  <si>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</si>
  <si>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</si>
  <si>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</si>
  <si>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</si>
  <si>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</si>
  <si>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</si>
  <si>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</si>
  <si>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</si>
  <si>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</si>
  <si>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</si>
  <si>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</si>
  <si>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</si>
  <si>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</si>
  <si>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</si>
  <si>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</si>
  <si>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</si>
  <si>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</si>
  <si>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</si>
  <si>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</si>
  <si>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</si>
  <si>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</si>
  <si>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</si>
  <si>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</si>
  <si>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</si>
  <si>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</si>
  <si>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</si>
  <si>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</si>
  <si>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</si>
  <si>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</si>
  <si>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</si>
  <si>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</si>
  <si>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</si>
  <si>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</si>
  <si>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</si>
  <si>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</si>
  <si>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</si>
  <si>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</si>
  <si>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</si>
  <si>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</si>
  <si>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</si>
  <si>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</si>
  <si>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</si>
  <si>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</si>
  <si>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</si>
  <si>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</si>
  <si>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</si>
  <si>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</si>
  <si>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</si>
  <si>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</si>
  <si>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</si>
  <si>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</si>
  <si>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</si>
  <si>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</si>
  <si>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</si>
  <si>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</si>
  <si>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</si>
  <si>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</si>
  <si>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</si>
  <si>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</si>
  <si>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</si>
  <si>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</si>
  <si>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</si>
  <si>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</si>
  <si>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</si>
  <si>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</si>
  <si>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</si>
  <si>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</si>
  <si>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</si>
  <si>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</si>
  <si>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</si>
  <si>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</si>
  <si>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</si>
  <si>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</si>
  <si>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</si>
  <si>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</si>
  <si>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</si>
  <si>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</si>
  <si>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</si>
  <si>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</si>
  <si>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</si>
  <si>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</si>
  <si>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</si>
  <si>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</si>
  <si>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</si>
  <si>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</si>
  <si>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</si>
  <si>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</si>
  <si>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</si>
  <si>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</si>
  <si>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</si>
  <si>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</si>
  <si>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</si>
  <si>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</si>
  <si>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</si>
  <si>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</si>
  <si>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</si>
  <si>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</si>
  <si>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</si>
  <si>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</si>
  <si>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</si>
  <si>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</si>
  <si>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</si>
  <si>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</si>
  <si>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</si>
  <si>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</si>
  <si>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</si>
  <si>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</si>
  <si>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</si>
  <si>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</si>
  <si>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</si>
  <si>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</si>
  <si>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</si>
  <si>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</si>
  <si>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</si>
  <si>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</si>
  <si>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</si>
  <si>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</si>
  <si>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</si>
  <si>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</si>
  <si>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</si>
  <si>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</si>
  <si>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</si>
  <si>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</si>
  <si>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</si>
  <si>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</si>
  <si>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</si>
  <si>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</si>
  <si>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</si>
  <si>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</si>
  <si>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</si>
  <si>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</si>
  <si>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</si>
  <si>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</si>
  <si>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</si>
  <si>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</si>
  <si>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</si>
  <si>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</si>
  <si>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</si>
  <si>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</si>
  <si>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</si>
  <si>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</si>
  <si>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</si>
  <si>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</si>
  <si>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</si>
  <si>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</si>
  <si>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</si>
  <si>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</si>
  <si>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</si>
  <si>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</si>
  <si>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</si>
  <si>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</si>
  <si>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</si>
  <si>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</si>
  <si>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</si>
  <si>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</si>
  <si>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</si>
  <si>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</si>
  <si>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</si>
  <si>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</si>
  <si>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</si>
  <si>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</si>
  <si>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</si>
  <si>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</si>
  <si>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</si>
  <si>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</si>
  <si>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</si>
  <si>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</si>
  <si>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</si>
  <si>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</si>
  <si>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</si>
  <si>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</si>
  <si>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</si>
  <si>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</si>
  <si>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</si>
  <si>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</si>
  <si>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</si>
  <si>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</si>
  <si>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</si>
  <si>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</si>
  <si>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</si>
  <si>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</si>
  <si>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</si>
  <si>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</si>
  <si>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</si>
  <si>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</si>
  <si>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</si>
  <si>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</si>
  <si>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</si>
  <si>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</si>
  <si>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</si>
  <si>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</si>
  <si>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</si>
  <si>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</si>
  <si>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</si>
  <si>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</si>
  <si>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</si>
  <si>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</si>
  <si>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</si>
  <si>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</si>
  <si>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</si>
  <si>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</si>
  <si>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</si>
  <si>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</si>
  <si>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</si>
  <si>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</si>
  <si>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</si>
  <si>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</si>
  <si>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</si>
  <si>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</si>
  <si>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</si>
  <si>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</si>
  <si>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</si>
  <si>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</si>
  <si>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</si>
  <si>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</si>
  <si>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</si>
  <si>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</si>
  <si>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</si>
  <si>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</si>
  <si>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</si>
  <si>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</si>
  <si>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</si>
  <si>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</si>
  <si>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</si>
  <si>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</si>
  <si>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 xml:space="preserve">Clean Platform </t>
  </si>
  <si>
    <t>Youtube</t>
  </si>
  <si>
    <t>#AnytimeIsTeslaTime</t>
  </si>
  <si>
    <t>#BetterWithTesla</t>
  </si>
  <si>
    <t>Engagement Rate</t>
  </si>
  <si>
    <t>Row Labels</t>
  </si>
  <si>
    <t>Grand Total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</si>
  <si>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</si>
  <si>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</si>
  <si>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</si>
  <si>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</si>
  <si>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</si>
  <si>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</si>
  <si>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</si>
  <si>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of Clicks</t>
  </si>
  <si>
    <t>Sum of Engagement Rate</t>
  </si>
  <si>
    <t>Max of Total_Followers</t>
  </si>
  <si>
    <t>Sum of Ad_Spend</t>
  </si>
  <si>
    <t>Sum of Engagement_Rate</t>
  </si>
  <si>
    <t>Count of Post ID</t>
  </si>
  <si>
    <t>Hashtags used2</t>
  </si>
  <si>
    <t xml:space="preserve">Campaign Name </t>
  </si>
  <si>
    <t>Campaign</t>
  </si>
  <si>
    <t>Total Impressions</t>
  </si>
  <si>
    <t>Avg Likes</t>
  </si>
  <si>
    <t>Avg Engagement Rate</t>
  </si>
  <si>
    <t>Total Clicks</t>
  </si>
  <si>
    <t>Total Ad Spend</t>
  </si>
  <si>
    <t>Total Engagement</t>
  </si>
  <si>
    <t>ROI (Engagement/$)</t>
  </si>
  <si>
    <t>Baseline ER</t>
  </si>
  <si>
    <t>Campaign ER</t>
  </si>
  <si>
    <t>Uplift %</t>
  </si>
  <si>
    <t>New Followers Gained</t>
  </si>
  <si>
    <t>Sum of New_Followers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</si>
</sst>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3" fontId="2" fillId="0" borderId="1" xfId="0" applyNumberFormat="1" applyFont="1" applyBorder="1" applyAlignment="1">
      <alignment horizontal="center" vertical="top"/>
    </xf>
    <xf numFmtId="3" fontId="3" fillId="0" borderId="0" xfId="0" applyNumberFormat="1" applyFont="1"/>
    <xf numFmtId="3" fontId="0" fillId="0" borderId="0" xfId="0" applyNumberFormat="1"/>
    <xf numFmtId="3" fontId="4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2" fillId="0" borderId="2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9" fontId="0" fillId="0" borderId="0" xfId="1" applyFont="1"/>
    <xf numFmtId="0" fontId="5" fillId="0" borderId="0" xfId="0" applyFont="1"/>
    <xf numFmtId="14" fontId="3" fillId="0" borderId="0" xfId="0" applyNumberFormat="1" applyFont="1"/>
    <xf numFmtId="0" fontId="1" fillId="0" borderId="0" xfId="0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[Tesla_Social_Media_Analytics.xlsx]Task1!PivotTable1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03937007874014"/>
          <c:y val="0.2572178477690289"/>
          <c:w val="0.50862729658792649"/>
          <c:h val="0.569357319918343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Task1!$B$3:$B$5</c:f>
              <c:strCache>
                <c:ptCount val="1"/>
                <c:pt idx="0">
                  <c:v>Facebook - Sum of Likes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Task1!$B$6:$B$12</c:f>
              <c:numCache>
                <c:formatCode>#,##0</c:formatCode>
                <c:ptCount val="6"/>
                <c:pt idx="0">
                  <c:v>44476</c:v>
                </c:pt>
                <c:pt idx="1">
                  <c:v>71602</c:v>
                </c:pt>
                <c:pt idx="2">
                  <c:v>36368</c:v>
                </c:pt>
                <c:pt idx="3">
                  <c:v>29405</c:v>
                </c:pt>
                <c:pt idx="4">
                  <c:v>31963</c:v>
                </c:pt>
                <c:pt idx="5">
                  <c:v>28947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1-478A-992C-20FAE5F5BA1E}"/>
            </c:ext>
          </c:extLst>
        </c:ser>
        <c:ser>
          <c:idx val="1"/>
          <c:order val="1"/>
          <c:tx>
            <c:strRef>
              <c:f>Task1!$C$3:$C$5</c:f>
              <c:strCache>
                <c:ptCount val="1"/>
                <c:pt idx="0">
                  <c:v>Facebook - Sum of Shares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Task1!$C$6:$C$12</c:f>
              <c:numCache>
                <c:formatCode>#,##0</c:formatCode>
                <c:ptCount val="6"/>
                <c:pt idx="0">
                  <c:v>7400</c:v>
                </c:pt>
                <c:pt idx="1">
                  <c:v>12904</c:v>
                </c:pt>
                <c:pt idx="2">
                  <c:v>5964</c:v>
                </c:pt>
                <c:pt idx="3">
                  <c:v>4950</c:v>
                </c:pt>
                <c:pt idx="4">
                  <c:v>4792</c:v>
                </c:pt>
                <c:pt idx="5">
                  <c:v>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1-478A-992C-20FAE5F5BA1E}"/>
            </c:ext>
          </c:extLst>
        </c:ser>
        <c:ser>
          <c:idx val="2"/>
          <c:order val="2"/>
          <c:tx>
            <c:strRef>
              <c:f>Task1!$D$3:$D$5</c:f>
              <c:strCache>
                <c:ptCount val="1"/>
                <c:pt idx="0">
                  <c:v>Facebook - Sum of Comments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Task1!$D$6:$D$12</c:f>
              <c:numCache>
                <c:formatCode>#,##0</c:formatCode>
                <c:ptCount val="6"/>
                <c:pt idx="0">
                  <c:v>4589</c:v>
                </c:pt>
                <c:pt idx="1">
                  <c:v>6495</c:v>
                </c:pt>
                <c:pt idx="2">
                  <c:v>3353</c:v>
                </c:pt>
                <c:pt idx="3">
                  <c:v>3223</c:v>
                </c:pt>
                <c:pt idx="4">
                  <c:v>3377</c:v>
                </c:pt>
                <c:pt idx="5">
                  <c:v>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1-478A-992C-20FAE5F5BA1E}"/>
            </c:ext>
          </c:extLst>
        </c:ser>
        <c:ser>
          <c:idx val="3"/>
          <c:order val="3"/>
          <c:tx>
            <c:strRef>
              <c:f>Task1!$E$3:$E$5</c:f>
              <c:strCache>
                <c:ptCount val="1"/>
                <c:pt idx="0">
                  <c:v>Instagram - Sum of Likes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Task1!$E$6:$E$12</c:f>
              <c:numCache>
                <c:formatCode>#,##0</c:formatCode>
                <c:ptCount val="6"/>
                <c:pt idx="0">
                  <c:v>43948</c:v>
                </c:pt>
                <c:pt idx="1">
                  <c:v>34202</c:v>
                </c:pt>
                <c:pt idx="2">
                  <c:v>32148</c:v>
                </c:pt>
                <c:pt idx="3">
                  <c:v>42649</c:v>
                </c:pt>
                <c:pt idx="4">
                  <c:v>25567</c:v>
                </c:pt>
                <c:pt idx="5">
                  <c:v>25770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01-478A-992C-20FAE5F5BA1E}"/>
            </c:ext>
          </c:extLst>
        </c:ser>
        <c:ser>
          <c:idx val="4"/>
          <c:order val="4"/>
          <c:tx>
            <c:strRef>
              <c:f>Task1!$F$3:$F$5</c:f>
              <c:strCache>
                <c:ptCount val="1"/>
                <c:pt idx="0">
                  <c:v>Instagram - Sum of Shares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Task1!$F$6:$F$12</c:f>
              <c:numCache>
                <c:formatCode>#,##0</c:formatCode>
                <c:ptCount val="6"/>
                <c:pt idx="0">
                  <c:v>6975</c:v>
                </c:pt>
                <c:pt idx="1">
                  <c:v>5286</c:v>
                </c:pt>
                <c:pt idx="2">
                  <c:v>8110</c:v>
                </c:pt>
                <c:pt idx="3">
                  <c:v>10049</c:v>
                </c:pt>
                <c:pt idx="4">
                  <c:v>5112</c:v>
                </c:pt>
                <c:pt idx="5">
                  <c:v>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01-478A-992C-20FAE5F5BA1E}"/>
            </c:ext>
          </c:extLst>
        </c:ser>
        <c:ser>
          <c:idx val="5"/>
          <c:order val="5"/>
          <c:tx>
            <c:strRef>
              <c:f>Task1!$G$3:$G$5</c:f>
              <c:strCache>
                <c:ptCount val="1"/>
                <c:pt idx="0">
                  <c:v>Instagram - Sum of Comments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Task1!$G$6:$G$12</c:f>
              <c:numCache>
                <c:formatCode>#,##0</c:formatCode>
                <c:ptCount val="6"/>
                <c:pt idx="0">
                  <c:v>3890</c:v>
                </c:pt>
                <c:pt idx="1">
                  <c:v>2655</c:v>
                </c:pt>
                <c:pt idx="2">
                  <c:v>3386</c:v>
                </c:pt>
                <c:pt idx="3">
                  <c:v>3846</c:v>
                </c:pt>
                <c:pt idx="4">
                  <c:v>1946</c:v>
                </c:pt>
                <c:pt idx="5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01-478A-992C-20FAE5F5BA1E}"/>
            </c:ext>
          </c:extLst>
        </c:ser>
        <c:ser>
          <c:idx val="6"/>
          <c:order val="6"/>
          <c:tx>
            <c:strRef>
              <c:f>Task1!$H$3:$H$5</c:f>
              <c:strCache>
                <c:ptCount val="1"/>
                <c:pt idx="0">
                  <c:v>Twitter - Sum of Likes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Task1!$H$6:$H$12</c:f>
              <c:numCache>
                <c:formatCode>#,##0</c:formatCode>
                <c:ptCount val="6"/>
                <c:pt idx="0">
                  <c:v>48649</c:v>
                </c:pt>
                <c:pt idx="1">
                  <c:v>43761</c:v>
                </c:pt>
                <c:pt idx="2">
                  <c:v>27029</c:v>
                </c:pt>
                <c:pt idx="3">
                  <c:v>20466</c:v>
                </c:pt>
                <c:pt idx="4">
                  <c:v>31899</c:v>
                </c:pt>
                <c:pt idx="5">
                  <c:v>29593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01-478A-992C-20FAE5F5BA1E}"/>
            </c:ext>
          </c:extLst>
        </c:ser>
        <c:ser>
          <c:idx val="7"/>
          <c:order val="7"/>
          <c:tx>
            <c:strRef>
              <c:f>Task1!$I$3:$I$5</c:f>
              <c:strCache>
                <c:ptCount val="1"/>
                <c:pt idx="0">
                  <c:v>Twitter - Sum of Shares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Task1!$I$6:$I$12</c:f>
              <c:numCache>
                <c:formatCode>#,##0</c:formatCode>
                <c:ptCount val="6"/>
                <c:pt idx="0">
                  <c:v>5791</c:v>
                </c:pt>
                <c:pt idx="1">
                  <c:v>7110</c:v>
                </c:pt>
                <c:pt idx="2">
                  <c:v>4550</c:v>
                </c:pt>
                <c:pt idx="3">
                  <c:v>5090</c:v>
                </c:pt>
                <c:pt idx="4">
                  <c:v>4861</c:v>
                </c:pt>
                <c:pt idx="5">
                  <c:v>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01-478A-992C-20FAE5F5BA1E}"/>
            </c:ext>
          </c:extLst>
        </c:ser>
        <c:ser>
          <c:idx val="8"/>
          <c:order val="8"/>
          <c:tx>
            <c:strRef>
              <c:f>Task1!$J$3:$J$5</c:f>
              <c:strCache>
                <c:ptCount val="1"/>
                <c:pt idx="0">
                  <c:v>Twitter - Sum of Comments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Task1!$J$6:$J$12</c:f>
              <c:numCache>
                <c:formatCode>#,##0</c:formatCode>
                <c:ptCount val="6"/>
                <c:pt idx="0">
                  <c:v>3607</c:v>
                </c:pt>
                <c:pt idx="1">
                  <c:v>5125</c:v>
                </c:pt>
                <c:pt idx="2">
                  <c:v>1913</c:v>
                </c:pt>
                <c:pt idx="3">
                  <c:v>3026</c:v>
                </c:pt>
                <c:pt idx="4">
                  <c:v>3910</c:v>
                </c:pt>
                <c:pt idx="5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01-478A-992C-20FAE5F5BA1E}"/>
            </c:ext>
          </c:extLst>
        </c:ser>
        <c:ser>
          <c:idx val="9"/>
          <c:order val="9"/>
          <c:tx>
            <c:strRef>
              <c:f>Task1!$K$3:$K$5</c:f>
              <c:strCache>
                <c:ptCount val="1"/>
                <c:pt idx="0">
                  <c:v>Youtube - Sum of Likes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Task1!$K$6:$K$12</c:f>
              <c:numCache>
                <c:formatCode>#,##0</c:formatCode>
                <c:ptCount val="6"/>
                <c:pt idx="0">
                  <c:v>24926</c:v>
                </c:pt>
                <c:pt idx="1">
                  <c:v>23903</c:v>
                </c:pt>
                <c:pt idx="2">
                  <c:v>32400</c:v>
                </c:pt>
                <c:pt idx="3">
                  <c:v>31968</c:v>
                </c:pt>
                <c:pt idx="4">
                  <c:v>27067</c:v>
                </c:pt>
                <c:pt idx="5">
                  <c:v>31285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301-478A-992C-20FAE5F5BA1E}"/>
            </c:ext>
          </c:extLst>
        </c:ser>
        <c:ser>
          <c:idx val="10"/>
          <c:order val="10"/>
          <c:tx>
            <c:strRef>
              <c:f>Task1!$L$3:$L$5</c:f>
              <c:strCache>
                <c:ptCount val="1"/>
                <c:pt idx="0">
                  <c:v>Youtube - Sum of Shares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Task1!$L$6:$L$12</c:f>
              <c:numCache>
                <c:formatCode>#,##0</c:formatCode>
                <c:ptCount val="6"/>
                <c:pt idx="0">
                  <c:v>6305</c:v>
                </c:pt>
                <c:pt idx="1">
                  <c:v>4310</c:v>
                </c:pt>
                <c:pt idx="2">
                  <c:v>4577</c:v>
                </c:pt>
                <c:pt idx="3">
                  <c:v>3866</c:v>
                </c:pt>
                <c:pt idx="4">
                  <c:v>3928</c:v>
                </c:pt>
                <c:pt idx="5">
                  <c:v>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01-478A-992C-20FAE5F5BA1E}"/>
            </c:ext>
          </c:extLst>
        </c:ser>
        <c:ser>
          <c:idx val="11"/>
          <c:order val="11"/>
          <c:tx>
            <c:strRef>
              <c:f>Task1!$M$3:$M$5</c:f>
              <c:strCache>
                <c:ptCount val="1"/>
                <c:pt idx="0">
                  <c:v>Youtube - Sum of Comments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Task1!$A$6:$A$12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Task1!$M$6:$M$12</c:f>
              <c:numCache>
                <c:formatCode>#,##0</c:formatCode>
                <c:ptCount val="6"/>
                <c:pt idx="0">
                  <c:v>2422</c:v>
                </c:pt>
                <c:pt idx="1">
                  <c:v>2077</c:v>
                </c:pt>
                <c:pt idx="2">
                  <c:v>2668</c:v>
                </c:pt>
                <c:pt idx="3">
                  <c:v>2012</c:v>
                </c:pt>
                <c:pt idx="4">
                  <c:v>1052</c:v>
                </c:pt>
                <c:pt idx="5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301-478A-992C-20FAE5F5B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71463984"/>
        <c:axId val="1671483184"/>
      </c:barChart>
      <c:catAx>
        <c:axId val="1671463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83184"/>
        <c:crosses val="autoZero"/>
        <c:auto val="1"/>
        <c:lblAlgn val="ctr"/>
        <c:lblOffset val="100"/>
        <c:noMultiLvlLbl val="0"/>
      </c:catAx>
      <c:valAx>
        <c:axId val="1671483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Task2!$B$3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CD-42B8-9F6F-B1629EB48BA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CD-42B8-9F6F-B1629EB48BA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CD-42B8-9F6F-B1629EB48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Task2!$A$4:$A$7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Task2!$B$4:$B$7</c:f>
              <c:numCache>
                <c:formatCode>#,##0</c:formatCode>
                <c:ptCount val="3"/>
                <c:pt idx="0">
                  <c:v>152.86597938144331</c:v>
                </c:pt>
                <c:pt idx="1">
                  <c:v>144.03883495145632</c:v>
                </c:pt>
                <c:pt idx="2">
                  <c:v>157.02000000000001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1-4DD4-B469-DA3CB3CEA0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Task3!$B$1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Task3!$A$2:$A$6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Task3!$B$2:$B$6</c:f>
              <c:numCache>
                <c:formatCode>General</c:formatCode>
                <c:ptCount val="4"/>
                <c:pt idx="0">
                  <c:v>88.586848108399209</c:v>
                </c:pt>
                <c:pt idx="1">
                  <c:v>287.25032245205034</c:v>
                </c:pt>
                <c:pt idx="2">
                  <c:v>287.2291402486195</c:v>
                </c:pt>
                <c:pt idx="3">
                  <c:v>66.15586789420496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5-4D0C-838B-0D0AEDF5B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36578800"/>
        <c:axId val="1936579760"/>
      </c:barChart>
      <c:catAx>
        <c:axId val="193657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79760"/>
        <c:crosses val="autoZero"/>
        <c:auto val="1"/>
        <c:lblAlgn val="ctr"/>
        <c:lblOffset val="100"/>
        <c:noMultiLvlLbl val="0"/>
      </c:catAx>
      <c:valAx>
        <c:axId val="193657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[Tesla_Social_Media_Analytics.xlsx]Task3!PivotTable6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Task3!$B$15:$B$16</c:f>
              <c:strCache>
                <c:ptCount val="1"/>
                <c:pt idx="0">
                  <c:v>Facebook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Task3!$A$17:$A$67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Task3!$B$17:$B$67</c:f>
              <c:numCache>
                <c:formatCode>General</c:formatCode>
                <c:ptCount val="50"/>
                <c:pt idx="0">
                  <c:v>42654</c:v>
                </c:pt>
                <c:pt idx="1">
                  <c:v>316555</c:v>
                </c:pt>
                <c:pt idx="2">
                  <c:v>169496</c:v>
                </c:pt>
                <c:pt idx="3">
                  <c:v>26295</c:v>
                </c:pt>
                <c:pt idx="4">
                  <c:v>220020</c:v>
                </c:pt>
                <c:pt idx="5">
                  <c:v>251694</c:v>
                </c:pt>
                <c:pt idx="6">
                  <c:v>334626</c:v>
                </c:pt>
                <c:pt idx="7">
                  <c:v>295032</c:v>
                </c:pt>
                <c:pt idx="8">
                  <c:v>435034</c:v>
                </c:pt>
                <c:pt idx="9">
                  <c:v>125034</c:v>
                </c:pt>
                <c:pt idx="10">
                  <c:v>307612</c:v>
                </c:pt>
                <c:pt idx="11">
                  <c:v>183924</c:v>
                </c:pt>
                <c:pt idx="12">
                  <c:v>379380</c:v>
                </c:pt>
                <c:pt idx="13">
                  <c:v>496982</c:v>
                </c:pt>
                <c:pt idx="14">
                  <c:v>307524</c:v>
                </c:pt>
                <c:pt idx="15">
                  <c:v>474162</c:v>
                </c:pt>
                <c:pt idx="16">
                  <c:v>239753</c:v>
                </c:pt>
                <c:pt idx="17">
                  <c:v>453423</c:v>
                </c:pt>
                <c:pt idx="18">
                  <c:v>379363</c:v>
                </c:pt>
                <c:pt idx="19">
                  <c:v>157599</c:v>
                </c:pt>
                <c:pt idx="20">
                  <c:v>23492</c:v>
                </c:pt>
                <c:pt idx="21">
                  <c:v>209987</c:v>
                </c:pt>
                <c:pt idx="22">
                  <c:v>319186</c:v>
                </c:pt>
                <c:pt idx="23">
                  <c:v>309483</c:v>
                </c:pt>
                <c:pt idx="24">
                  <c:v>338847</c:v>
                </c:pt>
                <c:pt idx="25">
                  <c:v>336661</c:v>
                </c:pt>
                <c:pt idx="26">
                  <c:v>470269</c:v>
                </c:pt>
                <c:pt idx="27">
                  <c:v>35842</c:v>
                </c:pt>
                <c:pt idx="28">
                  <c:v>415815</c:v>
                </c:pt>
                <c:pt idx="29">
                  <c:v>93347</c:v>
                </c:pt>
                <c:pt idx="30">
                  <c:v>379431</c:v>
                </c:pt>
                <c:pt idx="31">
                  <c:v>95728</c:v>
                </c:pt>
                <c:pt idx="32">
                  <c:v>224699</c:v>
                </c:pt>
                <c:pt idx="33">
                  <c:v>479490</c:v>
                </c:pt>
                <c:pt idx="34">
                  <c:v>321307</c:v>
                </c:pt>
                <c:pt idx="35">
                  <c:v>135987</c:v>
                </c:pt>
                <c:pt idx="36">
                  <c:v>309914</c:v>
                </c:pt>
                <c:pt idx="37">
                  <c:v>104967</c:v>
                </c:pt>
                <c:pt idx="38">
                  <c:v>230448</c:v>
                </c:pt>
                <c:pt idx="39">
                  <c:v>366881</c:v>
                </c:pt>
                <c:pt idx="40">
                  <c:v>340842</c:v>
                </c:pt>
                <c:pt idx="41">
                  <c:v>342129</c:v>
                </c:pt>
                <c:pt idx="42">
                  <c:v>373606</c:v>
                </c:pt>
                <c:pt idx="43">
                  <c:v>370070</c:v>
                </c:pt>
                <c:pt idx="44">
                  <c:v>98596</c:v>
                </c:pt>
                <c:pt idx="45">
                  <c:v>70707</c:v>
                </c:pt>
                <c:pt idx="46">
                  <c:v>377382</c:v>
                </c:pt>
                <c:pt idx="47">
                  <c:v>224830</c:v>
                </c:pt>
                <c:pt idx="48">
                  <c:v>418696</c:v>
                </c:pt>
                <c:pt idx="49">
                  <c:v>364820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6-4CA8-B75D-730BC5E49234}"/>
            </c:ext>
          </c:extLst>
        </c:ser>
        <c:ser>
          <c:idx val="1"/>
          <c:order val="1"/>
          <c:tx>
            <c:strRef>
              <c:f>Task3!$C$15:$C$16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Task3!$A$17:$A$67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Task3!$C$17:$C$67</c:f>
              <c:numCache>
                <c:formatCode>General</c:formatCode>
                <c:ptCount val="50"/>
                <c:pt idx="0">
                  <c:v>344084</c:v>
                </c:pt>
                <c:pt idx="1">
                  <c:v>49157</c:v>
                </c:pt>
                <c:pt idx="2">
                  <c:v>456946</c:v>
                </c:pt>
                <c:pt idx="3">
                  <c:v>35664</c:v>
                </c:pt>
                <c:pt idx="4">
                  <c:v>419447</c:v>
                </c:pt>
                <c:pt idx="5">
                  <c:v>58223</c:v>
                </c:pt>
                <c:pt idx="6">
                  <c:v>154169</c:v>
                </c:pt>
                <c:pt idx="7">
                  <c:v>473812</c:v>
                </c:pt>
                <c:pt idx="8">
                  <c:v>23664</c:v>
                </c:pt>
                <c:pt idx="9">
                  <c:v>437968</c:v>
                </c:pt>
                <c:pt idx="10">
                  <c:v>489188</c:v>
                </c:pt>
                <c:pt idx="11">
                  <c:v>325444</c:v>
                </c:pt>
                <c:pt idx="12">
                  <c:v>453799</c:v>
                </c:pt>
                <c:pt idx="13">
                  <c:v>101332</c:v>
                </c:pt>
                <c:pt idx="14">
                  <c:v>378054</c:v>
                </c:pt>
                <c:pt idx="15">
                  <c:v>50793</c:v>
                </c:pt>
                <c:pt idx="16">
                  <c:v>422625</c:v>
                </c:pt>
                <c:pt idx="17">
                  <c:v>370269</c:v>
                </c:pt>
                <c:pt idx="18">
                  <c:v>187183</c:v>
                </c:pt>
                <c:pt idx="19">
                  <c:v>388555</c:v>
                </c:pt>
                <c:pt idx="20">
                  <c:v>357089</c:v>
                </c:pt>
                <c:pt idx="21">
                  <c:v>346522</c:v>
                </c:pt>
                <c:pt idx="22">
                  <c:v>54935</c:v>
                </c:pt>
                <c:pt idx="23">
                  <c:v>51395</c:v>
                </c:pt>
                <c:pt idx="24">
                  <c:v>51087</c:v>
                </c:pt>
                <c:pt idx="25">
                  <c:v>282466</c:v>
                </c:pt>
                <c:pt idx="26">
                  <c:v>421957</c:v>
                </c:pt>
                <c:pt idx="27">
                  <c:v>220616</c:v>
                </c:pt>
                <c:pt idx="28">
                  <c:v>465553</c:v>
                </c:pt>
                <c:pt idx="29">
                  <c:v>280795</c:v>
                </c:pt>
                <c:pt idx="30">
                  <c:v>140804</c:v>
                </c:pt>
                <c:pt idx="31">
                  <c:v>466382</c:v>
                </c:pt>
                <c:pt idx="32">
                  <c:v>349413</c:v>
                </c:pt>
                <c:pt idx="33">
                  <c:v>383681</c:v>
                </c:pt>
                <c:pt idx="34">
                  <c:v>357265</c:v>
                </c:pt>
                <c:pt idx="35">
                  <c:v>351556</c:v>
                </c:pt>
                <c:pt idx="36">
                  <c:v>222126</c:v>
                </c:pt>
                <c:pt idx="37">
                  <c:v>453243</c:v>
                </c:pt>
                <c:pt idx="38">
                  <c:v>126524</c:v>
                </c:pt>
                <c:pt idx="39">
                  <c:v>257579</c:v>
                </c:pt>
                <c:pt idx="40">
                  <c:v>462142</c:v>
                </c:pt>
                <c:pt idx="41">
                  <c:v>410330</c:v>
                </c:pt>
                <c:pt idx="42">
                  <c:v>364810</c:v>
                </c:pt>
                <c:pt idx="43">
                  <c:v>282780</c:v>
                </c:pt>
                <c:pt idx="44">
                  <c:v>78789</c:v>
                </c:pt>
                <c:pt idx="45">
                  <c:v>66682</c:v>
                </c:pt>
                <c:pt idx="46">
                  <c:v>62942</c:v>
                </c:pt>
                <c:pt idx="47">
                  <c:v>445944</c:v>
                </c:pt>
                <c:pt idx="48">
                  <c:v>447902</c:v>
                </c:pt>
                <c:pt idx="49">
                  <c:v>468301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6-4CA8-B75D-730BC5E49234}"/>
            </c:ext>
          </c:extLst>
        </c:ser>
        <c:ser>
          <c:idx val="2"/>
          <c:order val="2"/>
          <c:tx>
            <c:strRef>
              <c:f>Task3!$D$15:$D$16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Task3!$A$17:$A$67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Task3!$D$17:$D$67</c:f>
              <c:numCache>
                <c:formatCode>General</c:formatCode>
                <c:ptCount val="50"/>
                <c:pt idx="0">
                  <c:v>146834</c:v>
                </c:pt>
                <c:pt idx="1">
                  <c:v>254347</c:v>
                </c:pt>
                <c:pt idx="2">
                  <c:v>122732</c:v>
                </c:pt>
                <c:pt idx="3">
                  <c:v>298421</c:v>
                </c:pt>
                <c:pt idx="4">
                  <c:v>315305</c:v>
                </c:pt>
                <c:pt idx="5">
                  <c:v>389810</c:v>
                </c:pt>
                <c:pt idx="6">
                  <c:v>226002</c:v>
                </c:pt>
                <c:pt idx="7">
                  <c:v>198278</c:v>
                </c:pt>
                <c:pt idx="8">
                  <c:v>287574</c:v>
                </c:pt>
                <c:pt idx="9">
                  <c:v>449994</c:v>
                </c:pt>
                <c:pt idx="10">
                  <c:v>434883</c:v>
                </c:pt>
                <c:pt idx="11">
                  <c:v>188655</c:v>
                </c:pt>
                <c:pt idx="12">
                  <c:v>186454</c:v>
                </c:pt>
                <c:pt idx="13">
                  <c:v>318779</c:v>
                </c:pt>
                <c:pt idx="14">
                  <c:v>434047</c:v>
                </c:pt>
                <c:pt idx="15">
                  <c:v>392355</c:v>
                </c:pt>
                <c:pt idx="16">
                  <c:v>268516</c:v>
                </c:pt>
                <c:pt idx="17">
                  <c:v>64906</c:v>
                </c:pt>
                <c:pt idx="18">
                  <c:v>476486</c:v>
                </c:pt>
                <c:pt idx="19">
                  <c:v>309772</c:v>
                </c:pt>
                <c:pt idx="20">
                  <c:v>258287</c:v>
                </c:pt>
                <c:pt idx="21">
                  <c:v>240550</c:v>
                </c:pt>
                <c:pt idx="22">
                  <c:v>439080</c:v>
                </c:pt>
                <c:pt idx="23">
                  <c:v>87305</c:v>
                </c:pt>
                <c:pt idx="24">
                  <c:v>487523</c:v>
                </c:pt>
                <c:pt idx="25">
                  <c:v>88455</c:v>
                </c:pt>
                <c:pt idx="26">
                  <c:v>309904</c:v>
                </c:pt>
                <c:pt idx="27">
                  <c:v>20607</c:v>
                </c:pt>
                <c:pt idx="28">
                  <c:v>327183</c:v>
                </c:pt>
                <c:pt idx="29">
                  <c:v>81119</c:v>
                </c:pt>
                <c:pt idx="30">
                  <c:v>274831</c:v>
                </c:pt>
                <c:pt idx="31">
                  <c:v>371156</c:v>
                </c:pt>
                <c:pt idx="32">
                  <c:v>487896</c:v>
                </c:pt>
                <c:pt idx="33">
                  <c:v>124404</c:v>
                </c:pt>
                <c:pt idx="34">
                  <c:v>262569</c:v>
                </c:pt>
                <c:pt idx="35">
                  <c:v>177554</c:v>
                </c:pt>
                <c:pt idx="36">
                  <c:v>126582</c:v>
                </c:pt>
                <c:pt idx="37">
                  <c:v>145608</c:v>
                </c:pt>
                <c:pt idx="38">
                  <c:v>317007</c:v>
                </c:pt>
                <c:pt idx="39">
                  <c:v>466575</c:v>
                </c:pt>
                <c:pt idx="40">
                  <c:v>12471</c:v>
                </c:pt>
                <c:pt idx="41">
                  <c:v>12447</c:v>
                </c:pt>
                <c:pt idx="42">
                  <c:v>211090</c:v>
                </c:pt>
                <c:pt idx="43">
                  <c:v>198350</c:v>
                </c:pt>
                <c:pt idx="44">
                  <c:v>29589</c:v>
                </c:pt>
                <c:pt idx="45">
                  <c:v>142507</c:v>
                </c:pt>
                <c:pt idx="46">
                  <c:v>333851</c:v>
                </c:pt>
                <c:pt idx="47">
                  <c:v>487289</c:v>
                </c:pt>
                <c:pt idx="48">
                  <c:v>484364</c:v>
                </c:pt>
                <c:pt idx="49">
                  <c:v>456298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06-4CA8-B75D-730BC5E49234}"/>
            </c:ext>
          </c:extLst>
        </c:ser>
        <c:ser>
          <c:idx val="3"/>
          <c:order val="3"/>
          <c:tx>
            <c:strRef>
              <c:f>Task3!$E$15:$E$16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Task3!$A$17:$A$67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Task3!$E$17:$E$67</c:f>
              <c:numCache>
                <c:formatCode>General</c:formatCode>
                <c:ptCount val="50"/>
                <c:pt idx="0">
                  <c:v>395536</c:v>
                </c:pt>
                <c:pt idx="1">
                  <c:v>413878</c:v>
                </c:pt>
                <c:pt idx="2">
                  <c:v>382851</c:v>
                </c:pt>
                <c:pt idx="3">
                  <c:v>426184</c:v>
                </c:pt>
                <c:pt idx="4">
                  <c:v>113678</c:v>
                </c:pt>
                <c:pt idx="5">
                  <c:v>233694</c:v>
                </c:pt>
                <c:pt idx="6">
                  <c:v>156683</c:v>
                </c:pt>
                <c:pt idx="7">
                  <c:v>306564</c:v>
                </c:pt>
                <c:pt idx="8">
                  <c:v>62499</c:v>
                </c:pt>
                <c:pt idx="9">
                  <c:v>320650</c:v>
                </c:pt>
                <c:pt idx="10">
                  <c:v>102042</c:v>
                </c:pt>
                <c:pt idx="11">
                  <c:v>87443</c:v>
                </c:pt>
                <c:pt idx="12">
                  <c:v>239044</c:v>
                </c:pt>
                <c:pt idx="13">
                  <c:v>370971</c:v>
                </c:pt>
                <c:pt idx="14">
                  <c:v>64583</c:v>
                </c:pt>
                <c:pt idx="15">
                  <c:v>119934</c:v>
                </c:pt>
                <c:pt idx="16">
                  <c:v>63177</c:v>
                </c:pt>
                <c:pt idx="17">
                  <c:v>94360</c:v>
                </c:pt>
                <c:pt idx="18">
                  <c:v>117767</c:v>
                </c:pt>
                <c:pt idx="19">
                  <c:v>199178</c:v>
                </c:pt>
                <c:pt idx="20">
                  <c:v>256910</c:v>
                </c:pt>
                <c:pt idx="21">
                  <c:v>305827</c:v>
                </c:pt>
                <c:pt idx="22">
                  <c:v>258944</c:v>
                </c:pt>
                <c:pt idx="23">
                  <c:v>121091</c:v>
                </c:pt>
                <c:pt idx="24">
                  <c:v>301695</c:v>
                </c:pt>
                <c:pt idx="25">
                  <c:v>62535</c:v>
                </c:pt>
                <c:pt idx="26">
                  <c:v>221274</c:v>
                </c:pt>
                <c:pt idx="27">
                  <c:v>451894</c:v>
                </c:pt>
                <c:pt idx="28">
                  <c:v>488901</c:v>
                </c:pt>
                <c:pt idx="29">
                  <c:v>25177</c:v>
                </c:pt>
                <c:pt idx="30">
                  <c:v>136845</c:v>
                </c:pt>
                <c:pt idx="31">
                  <c:v>95410</c:v>
                </c:pt>
                <c:pt idx="32">
                  <c:v>14437</c:v>
                </c:pt>
                <c:pt idx="33">
                  <c:v>336949</c:v>
                </c:pt>
                <c:pt idx="34">
                  <c:v>461669</c:v>
                </c:pt>
                <c:pt idx="35">
                  <c:v>270766</c:v>
                </c:pt>
                <c:pt idx="36">
                  <c:v>485280</c:v>
                </c:pt>
                <c:pt idx="37">
                  <c:v>105980</c:v>
                </c:pt>
                <c:pt idx="38">
                  <c:v>464239</c:v>
                </c:pt>
                <c:pt idx="39">
                  <c:v>224534</c:v>
                </c:pt>
                <c:pt idx="40">
                  <c:v>98397</c:v>
                </c:pt>
                <c:pt idx="41">
                  <c:v>17380</c:v>
                </c:pt>
                <c:pt idx="42">
                  <c:v>441931</c:v>
                </c:pt>
                <c:pt idx="43">
                  <c:v>435726</c:v>
                </c:pt>
                <c:pt idx="44">
                  <c:v>290354</c:v>
                </c:pt>
                <c:pt idx="45">
                  <c:v>369525</c:v>
                </c:pt>
                <c:pt idx="46">
                  <c:v>270958</c:v>
                </c:pt>
                <c:pt idx="47">
                  <c:v>11435</c:v>
                </c:pt>
                <c:pt idx="48">
                  <c:v>148477</c:v>
                </c:pt>
                <c:pt idx="49">
                  <c:v>82558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06-4CA8-B75D-730BC5E49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66624"/>
        <c:axId val="424356544"/>
      </c:lineChart>
      <c:catAx>
        <c:axId val="4243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56544"/>
        <c:crosses val="autoZero"/>
        <c:auto val="1"/>
        <c:lblAlgn val="ctr"/>
        <c:lblOffset val="100"/>
        <c:noMultiLvlLbl val="0"/>
      </c:catAx>
      <c:valAx>
        <c:axId val="4243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[Tesla_Social_Media_Analytics.xlsx]Task3!PivotTable9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Task3!$B$71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Task3!$A$72:$A$76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Task3!$B$72:$B$76</c:f>
              <c:numCache>
                <c:formatCode>General</c:formatCode>
                <c:ptCount val="4"/>
                <c:pt idx="0">
                  <c:v>282.43</c:v>
                </c:pt>
                <c:pt idx="1">
                  <c:v>285.78000000000003</c:v>
                </c:pt>
                <c:pt idx="2">
                  <c:v>282.79000000000002</c:v>
                </c:pt>
                <c:pt idx="3">
                  <c:v>277.94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7-4F57-B401-8381A60A9FC7}"/>
            </c:ext>
          </c:extLst>
        </c:ser>
        <c:ser>
          <c:idx val="1"/>
          <c:order val="1"/>
          <c:tx>
            <c:strRef>
              <c:f>Task3!$C$71</c:f>
              <c:strCache>
                <c:ptCount val="1"/>
                <c:pt idx="0">
                  <c:v>Sum of Ad_Spend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Task3!$A$72:$A$76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Task3!$C$72:$C$76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7-4F57-B401-8381A60A9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363264"/>
        <c:axId val="424364224"/>
        <c:axId val="2044108960"/>
      </c:area3DChart>
      <c:catAx>
        <c:axId val="42436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4224"/>
        <c:crosses val="autoZero"/>
        <c:auto val="1"/>
        <c:lblAlgn val="ctr"/>
        <c:lblOffset val="100"/>
        <c:noMultiLvlLbl val="0"/>
      </c:catAx>
      <c:valAx>
        <c:axId val="4243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3264"/>
        <c:crosses val="autoZero"/>
        <c:crossBetween val="midCat"/>
      </c:valAx>
      <c:serAx>
        <c:axId val="20441089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6422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[Tesla_Social_Media_Analytics.xlsx]Task4!PivotTable12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Task4!$B$2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Task4!$A$3:$A$6</c:f>
              <c:strCache>
                <c:ptCount val="3"/>
                <c:pt idx="0">
                  <c:v>#TeslaCoInnovation</c:v>
                </c:pt>
                <c:pt idx="1">
                  <c:v>#FutureOfDriving</c:v>
                </c:pt>
                <c:pt idx="2">
                  <c:v>#EVRevolution</c:v>
                </c:pt>
              </c:strCache>
            </c:strRef>
          </c:cat>
          <c:val>
            <c:numRef>
              <c:f>Task4!$B$3:$B$6</c:f>
              <c:numCache>
                <c:formatCode>General</c:formatCode>
                <c:ptCount val="3"/>
                <c:pt idx="0">
                  <c:v>100</c:v>
                </c:pt>
                <c:pt idx="1">
                  <c:v>103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D-4253-8D04-7A97FD864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24402624"/>
        <c:axId val="424388704"/>
      </c:barChart>
      <c:catAx>
        <c:axId val="424402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8704"/>
        <c:crosses val="autoZero"/>
        <c:auto val="1"/>
        <c:lblAlgn val="ctr"/>
        <c:lblOffset val="100"/>
        <c:noMultiLvlLbl val="0"/>
      </c:catAx>
      <c:valAx>
        <c:axId val="424388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0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[Tesla_Social_Media_Analytics.xlsx]Task4!PivotTable13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Task4!$B$20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3B-4C80-AB62-A0DA40ADF7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3B-4C80-AB62-A0DA40ADF7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3B-4C80-AB62-A0DA40ADF7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Task4!$A$21:$A$24</c:f>
              <c:strCache>
                <c:ptCount val="3"/>
                <c:pt idx="0">
                  <c:v>#EVRevolution</c:v>
                </c:pt>
                <c:pt idx="1">
                  <c:v>#FutureOfDriving</c:v>
                </c:pt>
                <c:pt idx="2">
                  <c:v>#TeslaCoInnovation</c:v>
                </c:pt>
              </c:strCache>
            </c:strRef>
          </c:cat>
          <c:val>
            <c:numRef>
              <c:f>Task4!$B$21:$B$24</c:f>
              <c:numCache>
                <c:formatCode>General</c:formatCode>
                <c:ptCount val="3"/>
                <c:pt idx="0">
                  <c:v>300.03460762572223</c:v>
                </c:pt>
                <c:pt idx="1">
                  <c:v>113.01986524083432</c:v>
                </c:pt>
                <c:pt idx="2">
                  <c:v>316.16770583671746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B-47CD-BE4E-C1D55A9854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[Tesla_Social_Media_Analytics.xlsx]Task4!PivotTable14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Task4!$B$40:$B$41</c:f>
              <c:strCache>
                <c:ptCount val="1"/>
                <c:pt idx="0">
                  <c:v>Facebook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CE-4DB6-B29B-99672E025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CE-4DB6-B29B-99672E025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CE-4DB6-B29B-99672E025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CE-4DB6-B29B-99672E025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CE-4DB6-B29B-99672E025C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ACE-4DB6-B29B-99672E025C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ACE-4DB6-B29B-99672E025CB5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Task4!$A$42:$A$48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Task4!$B$42:$B$48</c:f>
              <c:numCache>
                <c:formatCode>General</c:formatCode>
                <c:ptCount val="6"/>
                <c:pt idx="0">
                  <c:v>14.622724024080181</c:v>
                </c:pt>
                <c:pt idx="1">
                  <c:v>26.906154997341506</c:v>
                </c:pt>
                <c:pt idx="2">
                  <c:v>11.428935333329147</c:v>
                </c:pt>
                <c:pt idx="3">
                  <c:v>12.066520798360731</c:v>
                </c:pt>
                <c:pt idx="4">
                  <c:v>13.777162868229226</c:v>
                </c:pt>
                <c:pt idx="5">
                  <c:v>9.7853500870584629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4-46C0-BCB4-FA6E57F77127}"/>
            </c:ext>
          </c:extLst>
        </c:ser>
        <c:ser>
          <c:idx val="1"/>
          <c:order val="1"/>
          <c:tx>
            <c:strRef>
              <c:f>Task4!$C$40:$C$41</c:f>
              <c:strCache>
                <c:ptCount val="1"/>
                <c:pt idx="0">
                  <c:v>Instagram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ACE-4DB6-B29B-99672E025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ACE-4DB6-B29B-99672E025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ACE-4DB6-B29B-99672E025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ACE-4DB6-B29B-99672E025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ACE-4DB6-B29B-99672E025C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ACE-4DB6-B29B-99672E025C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ACE-4DB6-B29B-99672E025CB5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Task4!$A$42:$A$48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Task4!$C$42:$C$48</c:f>
              <c:numCache>
                <c:formatCode>General</c:formatCode>
                <c:ptCount val="6"/>
                <c:pt idx="0">
                  <c:v>18.281642940747162</c:v>
                </c:pt>
                <c:pt idx="1">
                  <c:v>10.91051172750282</c:v>
                </c:pt>
                <c:pt idx="2">
                  <c:v>19.193332205305421</c:v>
                </c:pt>
                <c:pt idx="3">
                  <c:v>213.65871112475048</c:v>
                </c:pt>
                <c:pt idx="4">
                  <c:v>10.817999676161241</c:v>
                </c:pt>
                <c:pt idx="5">
                  <c:v>14.388124777583254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4-46C0-BCB4-FA6E57F77127}"/>
            </c:ext>
          </c:extLst>
        </c:ser>
        <c:ser>
          <c:idx val="2"/>
          <c:order val="2"/>
          <c:tx>
            <c:strRef>
              <c:f>Task4!$D$40:$D$41</c:f>
              <c:strCache>
                <c:ptCount val="1"/>
                <c:pt idx="0">
                  <c:v>Twitter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ACE-4DB6-B29B-99672E025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ACE-4DB6-B29B-99672E025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ACE-4DB6-B29B-99672E025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ACE-4DB6-B29B-99672E025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ACE-4DB6-B29B-99672E025C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ACE-4DB6-B29B-99672E025C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ACE-4DB6-B29B-99672E025CB5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Task4!$A$42:$A$48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Task4!$D$42:$D$48</c:f>
              <c:numCache>
                <c:formatCode>General</c:formatCode>
                <c:ptCount val="6"/>
                <c:pt idx="0">
                  <c:v>219.20596790043263</c:v>
                </c:pt>
                <c:pt idx="1">
                  <c:v>21.075257566027854</c:v>
                </c:pt>
                <c:pt idx="2">
                  <c:v>11.914006204652255</c:v>
                </c:pt>
                <c:pt idx="3">
                  <c:v>10.690696644955704</c:v>
                </c:pt>
                <c:pt idx="4">
                  <c:v>11.58916908504769</c:v>
                </c:pt>
                <c:pt idx="5">
                  <c:v>12.754042847503353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4-46C0-BCB4-FA6E57F77127}"/>
            </c:ext>
          </c:extLst>
        </c:ser>
        <c:ser>
          <c:idx val="3"/>
          <c:order val="3"/>
          <c:tx>
            <c:strRef>
              <c:f>Task4!$E$40:$E$41</c:f>
              <c:strCache>
                <c:ptCount val="1"/>
                <c:pt idx="0">
                  <c:v>Youtube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ACE-4DB6-B29B-99672E025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2ACE-4DB6-B29B-99672E025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2ACE-4DB6-B29B-99672E025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2ACE-4DB6-B29B-99672E025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2ACE-4DB6-B29B-99672E025C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2ACE-4DB6-B29B-99672E025C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2ACE-4DB6-B29B-99672E025CB5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Task4!$A$42:$A$48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Task4!$E$42:$E$48</c:f>
              <c:numCache>
                <c:formatCode>General</c:formatCode>
                <c:ptCount val="6"/>
                <c:pt idx="0">
                  <c:v>15.34882635232254</c:v>
                </c:pt>
                <c:pt idx="1">
                  <c:v>10.116998520818999</c:v>
                </c:pt>
                <c:pt idx="2">
                  <c:v>12.658590790218849</c:v>
                </c:pt>
                <c:pt idx="3">
                  <c:v>9.2629123631825614</c:v>
                </c:pt>
                <c:pt idx="4">
                  <c:v>8.2910698298266432</c:v>
                </c:pt>
                <c:pt idx="5">
                  <c:v>10.477470037835355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54-46C0-BCB4-FA6E57F771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[Tesla_Social_Media_Analytics.xlsx]Task6!PivotTable2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  <a:sp3d contourW="9525">
            <a:contourClr>
              <a:schemeClr val="accent1"/>
            </a:contourClr>
          </a:sp3d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  <a:sp3d contourW="9525">
            <a:contourClr>
              <a:schemeClr val="accent1"/>
            </a:contourClr>
          </a:sp3d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  <a:sp3d contourW="9525">
            <a:contourClr>
              <a:schemeClr val="accent1"/>
            </a:contourClr>
          </a:sp3d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  <a:sp3d contourW="9525">
            <a:contourClr>
              <a:schemeClr val="accent1"/>
            </a:contourClr>
          </a:sp3d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Task6!$B$2:$B$3</c:f>
              <c:strCache>
                <c:ptCount val="1"/>
                <c:pt idx="0">
                  <c:v>Facebook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  <a:sp3d contourW="9525">
              <a:contourClr>
                <a:schemeClr val="accent1"/>
              </a:contourClr>
            </a:sp3d>
          </c:spPr>
          <c:invertIfNegative val="0"/>
          <c:cat>
            <c:strRef>
              <c:f>Task6!$A$4:$A$54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Task6!$B$4:$B$54</c:f>
              <c:numCache>
                <c:formatCode>General</c:formatCode>
                <c:ptCount val="50"/>
                <c:pt idx="0">
                  <c:v>1312</c:v>
                </c:pt>
                <c:pt idx="1">
                  <c:v>1697</c:v>
                </c:pt>
                <c:pt idx="2">
                  <c:v>1753</c:v>
                </c:pt>
                <c:pt idx="3">
                  <c:v>1779</c:v>
                </c:pt>
                <c:pt idx="4">
                  <c:v>505</c:v>
                </c:pt>
                <c:pt idx="5">
                  <c:v>350</c:v>
                </c:pt>
                <c:pt idx="6">
                  <c:v>170</c:v>
                </c:pt>
                <c:pt idx="7">
                  <c:v>1391</c:v>
                </c:pt>
                <c:pt idx="8">
                  <c:v>160</c:v>
                </c:pt>
                <c:pt idx="9">
                  <c:v>214</c:v>
                </c:pt>
                <c:pt idx="10">
                  <c:v>1534</c:v>
                </c:pt>
                <c:pt idx="11">
                  <c:v>1078</c:v>
                </c:pt>
                <c:pt idx="12">
                  <c:v>248</c:v>
                </c:pt>
                <c:pt idx="13">
                  <c:v>1520</c:v>
                </c:pt>
                <c:pt idx="14">
                  <c:v>1842</c:v>
                </c:pt>
                <c:pt idx="15">
                  <c:v>443</c:v>
                </c:pt>
                <c:pt idx="16">
                  <c:v>198</c:v>
                </c:pt>
                <c:pt idx="17">
                  <c:v>250</c:v>
                </c:pt>
                <c:pt idx="18">
                  <c:v>1929</c:v>
                </c:pt>
                <c:pt idx="19">
                  <c:v>643</c:v>
                </c:pt>
                <c:pt idx="20">
                  <c:v>508</c:v>
                </c:pt>
                <c:pt idx="21">
                  <c:v>859</c:v>
                </c:pt>
                <c:pt idx="22">
                  <c:v>947</c:v>
                </c:pt>
                <c:pt idx="23">
                  <c:v>171</c:v>
                </c:pt>
                <c:pt idx="24">
                  <c:v>513</c:v>
                </c:pt>
                <c:pt idx="25">
                  <c:v>1710</c:v>
                </c:pt>
                <c:pt idx="26">
                  <c:v>1902</c:v>
                </c:pt>
                <c:pt idx="27">
                  <c:v>1514</c:v>
                </c:pt>
                <c:pt idx="28">
                  <c:v>1623</c:v>
                </c:pt>
                <c:pt idx="29">
                  <c:v>1155</c:v>
                </c:pt>
                <c:pt idx="30">
                  <c:v>1980</c:v>
                </c:pt>
                <c:pt idx="31">
                  <c:v>816</c:v>
                </c:pt>
                <c:pt idx="32">
                  <c:v>651</c:v>
                </c:pt>
                <c:pt idx="33">
                  <c:v>663</c:v>
                </c:pt>
                <c:pt idx="34">
                  <c:v>1249</c:v>
                </c:pt>
                <c:pt idx="35">
                  <c:v>1159</c:v>
                </c:pt>
                <c:pt idx="36">
                  <c:v>1294</c:v>
                </c:pt>
                <c:pt idx="37">
                  <c:v>1895</c:v>
                </c:pt>
                <c:pt idx="38">
                  <c:v>1884</c:v>
                </c:pt>
                <c:pt idx="39">
                  <c:v>345</c:v>
                </c:pt>
                <c:pt idx="40">
                  <c:v>1098</c:v>
                </c:pt>
                <c:pt idx="41">
                  <c:v>1358</c:v>
                </c:pt>
                <c:pt idx="42">
                  <c:v>609</c:v>
                </c:pt>
                <c:pt idx="43">
                  <c:v>988</c:v>
                </c:pt>
                <c:pt idx="44">
                  <c:v>1307</c:v>
                </c:pt>
                <c:pt idx="45">
                  <c:v>198</c:v>
                </c:pt>
                <c:pt idx="46">
                  <c:v>1375</c:v>
                </c:pt>
                <c:pt idx="47">
                  <c:v>833</c:v>
                </c:pt>
                <c:pt idx="48">
                  <c:v>405</c:v>
                </c:pt>
                <c:pt idx="49">
                  <c:v>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8-45D5-B51D-9285F155F3F4}"/>
            </c:ext>
          </c:extLst>
        </c:ser>
        <c:ser>
          <c:idx val="1"/>
          <c:order val="1"/>
          <c:tx>
            <c:strRef>
              <c:f>Task6!$C$2:$C$3</c:f>
              <c:strCache>
                <c:ptCount val="1"/>
                <c:pt idx="0">
                  <c:v>Instagram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  <a:sp3d contourW="9525">
              <a:contourClr>
                <a:schemeClr val="accent2"/>
              </a:contourClr>
            </a:sp3d>
          </c:spPr>
          <c:invertIfNegative val="0"/>
          <c:cat>
            <c:strRef>
              <c:f>Task6!$A$4:$A$54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Task6!$C$4:$C$54</c:f>
              <c:numCache>
                <c:formatCode>General</c:formatCode>
                <c:ptCount val="50"/>
                <c:pt idx="0">
                  <c:v>1135</c:v>
                </c:pt>
                <c:pt idx="1">
                  <c:v>656</c:v>
                </c:pt>
                <c:pt idx="2">
                  <c:v>1048</c:v>
                </c:pt>
                <c:pt idx="3">
                  <c:v>911</c:v>
                </c:pt>
                <c:pt idx="4">
                  <c:v>226</c:v>
                </c:pt>
                <c:pt idx="5">
                  <c:v>1757</c:v>
                </c:pt>
                <c:pt idx="6">
                  <c:v>1960</c:v>
                </c:pt>
                <c:pt idx="7">
                  <c:v>508</c:v>
                </c:pt>
                <c:pt idx="8">
                  <c:v>653</c:v>
                </c:pt>
                <c:pt idx="9">
                  <c:v>645</c:v>
                </c:pt>
                <c:pt idx="10">
                  <c:v>1528</c:v>
                </c:pt>
                <c:pt idx="11">
                  <c:v>215</c:v>
                </c:pt>
                <c:pt idx="12">
                  <c:v>1685</c:v>
                </c:pt>
                <c:pt idx="13">
                  <c:v>1429</c:v>
                </c:pt>
                <c:pt idx="14">
                  <c:v>1592</c:v>
                </c:pt>
                <c:pt idx="15">
                  <c:v>778</c:v>
                </c:pt>
                <c:pt idx="16">
                  <c:v>817</c:v>
                </c:pt>
                <c:pt idx="17">
                  <c:v>1433</c:v>
                </c:pt>
                <c:pt idx="18">
                  <c:v>1939</c:v>
                </c:pt>
                <c:pt idx="19">
                  <c:v>1527</c:v>
                </c:pt>
                <c:pt idx="20">
                  <c:v>703</c:v>
                </c:pt>
                <c:pt idx="21">
                  <c:v>642</c:v>
                </c:pt>
                <c:pt idx="22">
                  <c:v>1466</c:v>
                </c:pt>
                <c:pt idx="23">
                  <c:v>1075</c:v>
                </c:pt>
                <c:pt idx="24">
                  <c:v>187</c:v>
                </c:pt>
                <c:pt idx="25">
                  <c:v>1854</c:v>
                </c:pt>
                <c:pt idx="26">
                  <c:v>1696</c:v>
                </c:pt>
                <c:pt idx="27">
                  <c:v>1494</c:v>
                </c:pt>
                <c:pt idx="28">
                  <c:v>1502</c:v>
                </c:pt>
                <c:pt idx="29">
                  <c:v>1092</c:v>
                </c:pt>
                <c:pt idx="30">
                  <c:v>1814</c:v>
                </c:pt>
                <c:pt idx="31">
                  <c:v>1013</c:v>
                </c:pt>
                <c:pt idx="32">
                  <c:v>1855</c:v>
                </c:pt>
                <c:pt idx="33">
                  <c:v>1748</c:v>
                </c:pt>
                <c:pt idx="34">
                  <c:v>115</c:v>
                </c:pt>
                <c:pt idx="35">
                  <c:v>1556</c:v>
                </c:pt>
                <c:pt idx="36">
                  <c:v>1957</c:v>
                </c:pt>
                <c:pt idx="37">
                  <c:v>1138</c:v>
                </c:pt>
                <c:pt idx="38">
                  <c:v>1440</c:v>
                </c:pt>
                <c:pt idx="39">
                  <c:v>1371</c:v>
                </c:pt>
                <c:pt idx="40">
                  <c:v>393</c:v>
                </c:pt>
                <c:pt idx="41">
                  <c:v>1102</c:v>
                </c:pt>
                <c:pt idx="42">
                  <c:v>490</c:v>
                </c:pt>
                <c:pt idx="43">
                  <c:v>1033</c:v>
                </c:pt>
                <c:pt idx="44">
                  <c:v>559</c:v>
                </c:pt>
                <c:pt idx="45">
                  <c:v>198</c:v>
                </c:pt>
                <c:pt idx="46">
                  <c:v>961</c:v>
                </c:pt>
                <c:pt idx="47">
                  <c:v>1693</c:v>
                </c:pt>
                <c:pt idx="48">
                  <c:v>1957</c:v>
                </c:pt>
                <c:pt idx="49">
                  <c:v>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8-45D5-B51D-9285F155F3F4}"/>
            </c:ext>
          </c:extLst>
        </c:ser>
        <c:ser>
          <c:idx val="2"/>
          <c:order val="2"/>
          <c:tx>
            <c:strRef>
              <c:f>Task6!$D$2:$D$3</c:f>
              <c:strCache>
                <c:ptCount val="1"/>
                <c:pt idx="0">
                  <c:v>Twitter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  <a:sp3d contourW="9525">
              <a:contourClr>
                <a:schemeClr val="accent3"/>
              </a:contourClr>
            </a:sp3d>
          </c:spPr>
          <c:invertIfNegative val="0"/>
          <c:cat>
            <c:strRef>
              <c:f>Task6!$A$4:$A$54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Task6!$D$4:$D$54</c:f>
              <c:numCache>
                <c:formatCode>General</c:formatCode>
                <c:ptCount val="50"/>
                <c:pt idx="0">
                  <c:v>584</c:v>
                </c:pt>
                <c:pt idx="1">
                  <c:v>436</c:v>
                </c:pt>
                <c:pt idx="2">
                  <c:v>1335</c:v>
                </c:pt>
                <c:pt idx="3">
                  <c:v>1238</c:v>
                </c:pt>
                <c:pt idx="4">
                  <c:v>1420</c:v>
                </c:pt>
                <c:pt idx="5">
                  <c:v>987</c:v>
                </c:pt>
                <c:pt idx="6">
                  <c:v>704</c:v>
                </c:pt>
                <c:pt idx="7">
                  <c:v>1701</c:v>
                </c:pt>
                <c:pt idx="8">
                  <c:v>1756</c:v>
                </c:pt>
                <c:pt idx="9">
                  <c:v>826</c:v>
                </c:pt>
                <c:pt idx="10">
                  <c:v>485</c:v>
                </c:pt>
                <c:pt idx="11">
                  <c:v>1751</c:v>
                </c:pt>
                <c:pt idx="12">
                  <c:v>1300</c:v>
                </c:pt>
                <c:pt idx="13">
                  <c:v>557</c:v>
                </c:pt>
                <c:pt idx="14">
                  <c:v>751</c:v>
                </c:pt>
                <c:pt idx="15">
                  <c:v>1472</c:v>
                </c:pt>
                <c:pt idx="16">
                  <c:v>1911</c:v>
                </c:pt>
                <c:pt idx="17">
                  <c:v>752</c:v>
                </c:pt>
                <c:pt idx="18">
                  <c:v>437</c:v>
                </c:pt>
                <c:pt idx="19">
                  <c:v>201</c:v>
                </c:pt>
                <c:pt idx="20">
                  <c:v>697</c:v>
                </c:pt>
                <c:pt idx="21">
                  <c:v>191</c:v>
                </c:pt>
                <c:pt idx="22">
                  <c:v>1821</c:v>
                </c:pt>
                <c:pt idx="23">
                  <c:v>1487</c:v>
                </c:pt>
                <c:pt idx="24">
                  <c:v>628</c:v>
                </c:pt>
                <c:pt idx="25">
                  <c:v>330</c:v>
                </c:pt>
                <c:pt idx="26">
                  <c:v>1441</c:v>
                </c:pt>
                <c:pt idx="27">
                  <c:v>1937</c:v>
                </c:pt>
                <c:pt idx="28">
                  <c:v>1592</c:v>
                </c:pt>
                <c:pt idx="29">
                  <c:v>1137</c:v>
                </c:pt>
                <c:pt idx="30">
                  <c:v>1786</c:v>
                </c:pt>
                <c:pt idx="31">
                  <c:v>1633</c:v>
                </c:pt>
                <c:pt idx="32">
                  <c:v>118</c:v>
                </c:pt>
                <c:pt idx="33">
                  <c:v>1040</c:v>
                </c:pt>
                <c:pt idx="34">
                  <c:v>1501</c:v>
                </c:pt>
                <c:pt idx="35">
                  <c:v>927</c:v>
                </c:pt>
                <c:pt idx="36">
                  <c:v>1587</c:v>
                </c:pt>
                <c:pt idx="37">
                  <c:v>362</c:v>
                </c:pt>
                <c:pt idx="38">
                  <c:v>861</c:v>
                </c:pt>
                <c:pt idx="39">
                  <c:v>946</c:v>
                </c:pt>
                <c:pt idx="40">
                  <c:v>1399</c:v>
                </c:pt>
                <c:pt idx="41">
                  <c:v>1077</c:v>
                </c:pt>
                <c:pt idx="42">
                  <c:v>364</c:v>
                </c:pt>
                <c:pt idx="43">
                  <c:v>1946</c:v>
                </c:pt>
                <c:pt idx="44">
                  <c:v>1432</c:v>
                </c:pt>
                <c:pt idx="45">
                  <c:v>353</c:v>
                </c:pt>
                <c:pt idx="46">
                  <c:v>1147</c:v>
                </c:pt>
                <c:pt idx="47">
                  <c:v>1222</c:v>
                </c:pt>
                <c:pt idx="48">
                  <c:v>1581</c:v>
                </c:pt>
                <c:pt idx="49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8-45D5-B51D-9285F155F3F4}"/>
            </c:ext>
          </c:extLst>
        </c:ser>
        <c:ser>
          <c:idx val="3"/>
          <c:order val="3"/>
          <c:tx>
            <c:strRef>
              <c:f>Task6!$E$2:$E$3</c:f>
              <c:strCache>
                <c:ptCount val="1"/>
                <c:pt idx="0">
                  <c:v>YouTube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  <a:sp3d contourW="9525">
              <a:contourClr>
                <a:schemeClr val="accent4"/>
              </a:contourClr>
            </a:sp3d>
          </c:spPr>
          <c:invertIfNegative val="0"/>
          <c:cat>
            <c:strRef>
              <c:f>Task6!$A$4:$A$54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Task6!$E$4:$E$54</c:f>
              <c:numCache>
                <c:formatCode>General</c:formatCode>
                <c:ptCount val="50"/>
                <c:pt idx="0">
                  <c:v>1535</c:v>
                </c:pt>
                <c:pt idx="1">
                  <c:v>1197</c:v>
                </c:pt>
                <c:pt idx="2">
                  <c:v>403</c:v>
                </c:pt>
                <c:pt idx="3">
                  <c:v>308</c:v>
                </c:pt>
                <c:pt idx="4">
                  <c:v>144</c:v>
                </c:pt>
                <c:pt idx="5">
                  <c:v>883</c:v>
                </c:pt>
                <c:pt idx="6">
                  <c:v>224</c:v>
                </c:pt>
                <c:pt idx="7">
                  <c:v>804</c:v>
                </c:pt>
                <c:pt idx="8">
                  <c:v>576</c:v>
                </c:pt>
                <c:pt idx="9">
                  <c:v>460</c:v>
                </c:pt>
                <c:pt idx="10">
                  <c:v>1210</c:v>
                </c:pt>
                <c:pt idx="11">
                  <c:v>221</c:v>
                </c:pt>
                <c:pt idx="12">
                  <c:v>422</c:v>
                </c:pt>
                <c:pt idx="13">
                  <c:v>728</c:v>
                </c:pt>
                <c:pt idx="14">
                  <c:v>1409</c:v>
                </c:pt>
                <c:pt idx="15">
                  <c:v>123</c:v>
                </c:pt>
                <c:pt idx="16">
                  <c:v>1218</c:v>
                </c:pt>
                <c:pt idx="17">
                  <c:v>1918</c:v>
                </c:pt>
                <c:pt idx="18">
                  <c:v>307</c:v>
                </c:pt>
                <c:pt idx="19">
                  <c:v>414</c:v>
                </c:pt>
                <c:pt idx="20">
                  <c:v>1707</c:v>
                </c:pt>
                <c:pt idx="21">
                  <c:v>1814</c:v>
                </c:pt>
                <c:pt idx="22">
                  <c:v>1507</c:v>
                </c:pt>
                <c:pt idx="23">
                  <c:v>454</c:v>
                </c:pt>
                <c:pt idx="24">
                  <c:v>278</c:v>
                </c:pt>
                <c:pt idx="25">
                  <c:v>1293</c:v>
                </c:pt>
                <c:pt idx="26">
                  <c:v>452</c:v>
                </c:pt>
                <c:pt idx="27">
                  <c:v>736</c:v>
                </c:pt>
                <c:pt idx="28">
                  <c:v>1004</c:v>
                </c:pt>
                <c:pt idx="29">
                  <c:v>1900</c:v>
                </c:pt>
                <c:pt idx="30">
                  <c:v>1495</c:v>
                </c:pt>
                <c:pt idx="31">
                  <c:v>891</c:v>
                </c:pt>
                <c:pt idx="32">
                  <c:v>1331</c:v>
                </c:pt>
                <c:pt idx="33">
                  <c:v>1166</c:v>
                </c:pt>
                <c:pt idx="34">
                  <c:v>1411</c:v>
                </c:pt>
                <c:pt idx="35">
                  <c:v>152</c:v>
                </c:pt>
                <c:pt idx="36">
                  <c:v>1707</c:v>
                </c:pt>
                <c:pt idx="37">
                  <c:v>1662</c:v>
                </c:pt>
                <c:pt idx="38">
                  <c:v>1063</c:v>
                </c:pt>
                <c:pt idx="39">
                  <c:v>510</c:v>
                </c:pt>
                <c:pt idx="40">
                  <c:v>1658</c:v>
                </c:pt>
                <c:pt idx="41">
                  <c:v>1596</c:v>
                </c:pt>
                <c:pt idx="42">
                  <c:v>442</c:v>
                </c:pt>
                <c:pt idx="43">
                  <c:v>1957</c:v>
                </c:pt>
                <c:pt idx="44">
                  <c:v>623</c:v>
                </c:pt>
                <c:pt idx="45">
                  <c:v>520</c:v>
                </c:pt>
                <c:pt idx="46">
                  <c:v>1707</c:v>
                </c:pt>
                <c:pt idx="47">
                  <c:v>777</c:v>
                </c:pt>
                <c:pt idx="48">
                  <c:v>1035</c:v>
                </c:pt>
                <c:pt idx="49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28-45D5-B51D-9285F155F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shape val="box"/>
        <c:axId val="1724611951"/>
        <c:axId val="1724612431"/>
        <c:axId val="0"/>
      </c:bar3DChart>
      <c:catAx>
        <c:axId val="172461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12431"/>
        <c:crosses val="autoZero"/>
        <c:auto val="1"/>
        <c:lblAlgn val="ctr"/>
        <c:lblOffset val="100"/>
        <c:noMultiLvlLbl val="0"/>
      </c:catAx>
      <c:valAx>
        <c:axId val="1724612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1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12</xdr:row>
      <xdr:rowOff>160020</xdr:rowOff>
    </xdr:from>
    <xdr:to>
      <xdr:col>9</xdr:col>
      <xdr:colOff>868680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1CCE0-E2F7-BF2F-C196-FD57D3ACC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2</xdr:row>
      <xdr:rowOff>15240</xdr:rowOff>
    </xdr:from>
    <xdr:to>
      <xdr:col>14</xdr:col>
      <xdr:colOff>441960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4AA37-7F45-EC2D-666F-D08AFC9F3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7620</xdr:rowOff>
    </xdr:from>
    <xdr:to>
      <xdr:col>7</xdr:col>
      <xdr:colOff>487680</xdr:colOff>
      <xdr:row>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53474C-82BD-2ECE-4BCB-9A33FA392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</xdr:colOff>
      <xdr:row>14</xdr:row>
      <xdr:rowOff>0</xdr:rowOff>
    </xdr:from>
    <xdr:to>
      <xdr:col>14</xdr:col>
      <xdr:colOff>38100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5D6E93-6926-B9C8-1DEF-1AE966CF7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251460</xdr:colOff>
      <xdr:row>69</xdr:row>
      <xdr:rowOff>144780</xdr:rowOff>
    </xdr:from>
    <xdr:to>
      <xdr:col>11</xdr:col>
      <xdr:colOff>297180</xdr:colOff>
      <xdr:row>84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F0EBC4-2C5F-DB13-D528-4AAC5ED75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1097280</xdr:colOff>
      <xdr:row>88</xdr:row>
      <xdr:rowOff>0</xdr:rowOff>
    </xdr:from>
    <xdr:to>
      <xdr:col>13</xdr:col>
      <xdr:colOff>281940</xdr:colOff>
      <xdr:row>96</xdr:row>
      <xdr:rowOff>83820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F45B02-1E91-79E1-D48E-5408547C6F10}"/>
            </a:ext>
          </a:extLst>
        </xdr:cNvPr>
        <xdr:cNvSpPr txBox="1"/>
      </xdr:nvSpPr>
      <xdr:spPr>
        <a:xfrm>
          <a:off x="1958340" y="16093440"/>
          <a:ext cx="7947660" cy="15468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Strategic Advice</a:t>
          </a:r>
        </a:p>
        <a:p>
          <a:r>
            <a:rPr lang="en-IN" b="1"/>
            <a:t>Twitter + YouTube</a:t>
          </a:r>
          <a:r>
            <a:rPr lang="en-IN"/>
            <a:t> → Best for </a:t>
          </a:r>
          <a:r>
            <a:rPr lang="en-IN" b="1"/>
            <a:t>product announcements + demos</a:t>
          </a:r>
          <a:r>
            <a:rPr lang="en-IN"/>
            <a:t>.</a:t>
          </a:r>
        </a:p>
        <a:p>
          <a:pPr lvl="1"/>
          <a:r>
            <a:rPr lang="en-IN"/>
            <a:t>Twitter drives buzz quickly.</a:t>
          </a:r>
        </a:p>
        <a:p>
          <a:pPr lvl="1"/>
          <a:r>
            <a:rPr lang="en-IN"/>
            <a:t>YouTube provides depth and credibility.</a:t>
          </a:r>
        </a:p>
        <a:p>
          <a:r>
            <a:rPr lang="en-IN" b="1"/>
            <a:t>Instagram</a:t>
          </a:r>
          <a:r>
            <a:rPr lang="en-IN"/>
            <a:t> → Strong for </a:t>
          </a:r>
          <a:r>
            <a:rPr lang="en-IN" b="1"/>
            <a:t>visual storytelling, lifestyle, sustainability</a:t>
          </a:r>
          <a:r>
            <a:rPr lang="en-IN"/>
            <a:t>.</a:t>
          </a:r>
        </a:p>
        <a:p>
          <a:r>
            <a:rPr lang="en-IN" b="1"/>
            <a:t>Facebook</a:t>
          </a:r>
          <a:r>
            <a:rPr lang="en-IN"/>
            <a:t> → Maintain presence for reach, but ROI is weaker.</a:t>
          </a:r>
        </a:p>
        <a:p>
          <a:r>
            <a:rPr lang="en-IN"/>
            <a:t>👉 </a:t>
          </a:r>
          <a:r>
            <a:rPr lang="en-IN" b="1"/>
            <a:t>Recommendation:</a:t>
          </a:r>
          <a:r>
            <a:rPr lang="en-IN"/>
            <a:t> Tesla should </a:t>
          </a:r>
          <a:r>
            <a:rPr lang="en-IN" b="1"/>
            <a:t>prioritize Twitter + YouTube for launches/demos</a:t>
          </a:r>
          <a:r>
            <a:rPr lang="en-IN"/>
            <a:t>, while </a:t>
          </a:r>
          <a:r>
            <a:rPr lang="en-IN" b="1"/>
            <a:t>sustaining Instagram for brand loyalty</a:t>
          </a:r>
          <a:r>
            <a:rPr lang="en-IN"/>
            <a:t>. A </a:t>
          </a:r>
          <a:r>
            <a:rPr lang="en-IN" b="1"/>
            <a:t>multi‑platform strategy</a:t>
          </a:r>
          <a:r>
            <a:rPr lang="en-IN"/>
            <a:t> is still useful, but budget allocation should favor Twitter (buzz) and YouTube (education).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45720</xdr:rowOff>
    </xdr:from>
    <xdr:to>
      <xdr:col>9</xdr:col>
      <xdr:colOff>327660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75D13-27F5-3CBA-05E0-8220DF471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18</xdr:row>
      <xdr:rowOff>167640</xdr:rowOff>
    </xdr:from>
    <xdr:to>
      <xdr:col>9</xdr:col>
      <xdr:colOff>335280</xdr:colOff>
      <xdr:row>33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EBB4E9-D0E3-654A-D0C4-20106787B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106680</xdr:colOff>
      <xdr:row>37</xdr:row>
      <xdr:rowOff>152400</xdr:rowOff>
    </xdr:from>
    <xdr:to>
      <xdr:col>13</xdr:col>
      <xdr:colOff>411480</xdr:colOff>
      <xdr:row>52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0EF401-88A7-802C-089B-56CE32DBE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815340</xdr:colOff>
      <xdr:row>58</xdr:row>
      <xdr:rowOff>99060</xdr:rowOff>
    </xdr:from>
    <xdr:to>
      <xdr:col>14</xdr:col>
      <xdr:colOff>320040</xdr:colOff>
      <xdr:row>70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A80293-856B-7486-801E-02672B41EE48}"/>
            </a:ext>
          </a:extLst>
        </xdr:cNvPr>
        <xdr:cNvSpPr txBox="1"/>
      </xdr:nvSpPr>
      <xdr:spPr>
        <a:xfrm>
          <a:off x="815340" y="10706100"/>
          <a:ext cx="10287000" cy="21869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0070C0"/>
              </a:solidFill>
            </a:rPr>
            <a:t>Recommend Content Type Priorities per Platform</a:t>
          </a:r>
        </a:p>
        <a:p>
          <a:r>
            <a:rPr lang="en-IN" b="1">
              <a:solidFill>
                <a:srgbClr val="0070C0"/>
              </a:solidFill>
            </a:rPr>
            <a:t>Based on PivotTable results:</a:t>
          </a:r>
        </a:p>
        <a:p>
          <a:r>
            <a:rPr lang="en-IN" b="1">
              <a:solidFill>
                <a:srgbClr val="0070C0"/>
              </a:solidFill>
            </a:rPr>
            <a:t>YouTube → Prioritize Videos (product demos, Elon talks).</a:t>
          </a:r>
        </a:p>
        <a:p>
          <a:r>
            <a:rPr lang="en-IN" b="1">
              <a:solidFill>
                <a:srgbClr val="0070C0"/>
              </a:solidFill>
            </a:rPr>
            <a:t>Instagram → Prioritize Images (designs, interiors, lifestyle).</a:t>
          </a:r>
        </a:p>
        <a:p>
          <a:r>
            <a:rPr lang="en-IN" b="1">
              <a:solidFill>
                <a:srgbClr val="0070C0"/>
              </a:solidFill>
            </a:rPr>
            <a:t>Twitter → Use Carousels + Images for quick comparisons and announcements.</a:t>
          </a:r>
        </a:p>
        <a:p>
          <a:r>
            <a:rPr lang="en-IN" b="1">
              <a:solidFill>
                <a:srgbClr val="0070C0"/>
              </a:solidFill>
            </a:rPr>
            <a:t>Facebook → Maintain Carousels for reach, but lower ROI.</a:t>
          </a:r>
        </a:p>
        <a:p>
          <a:r>
            <a:rPr lang="en-IN" b="1">
              <a:solidFill>
                <a:srgbClr val="0070C0"/>
              </a:solidFill>
            </a:rPr>
            <a:t>👉 Recommendation:</a:t>
          </a:r>
        </a:p>
        <a:p>
          <a:r>
            <a:rPr lang="en-IN" b="1">
              <a:solidFill>
                <a:srgbClr val="0070C0"/>
              </a:solidFill>
            </a:rPr>
            <a:t>Tesla should focus videos on YouTube, images on Instagram, and carousels on Twitter/Facebook.</a:t>
          </a:r>
        </a:p>
        <a:p>
          <a:r>
            <a:rPr lang="en-IN" b="1">
              <a:solidFill>
                <a:srgbClr val="0070C0"/>
              </a:solidFill>
            </a:rPr>
            <a:t>Pair high-performing hashtags (#Cybertruck, #ModelY, #EVAdoption) with the right content type per platform for maximum impact.</a:t>
          </a:r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68586</xdr:colOff>
      <xdr:row>0</xdr:row>
      <xdr:rowOff>175260</xdr:rowOff>
    </xdr:from>
    <xdr:to>
      <xdr:col>14</xdr:col>
      <xdr:colOff>571500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27BB6-EE4A-282C-8F36-2C856FDB3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480060</xdr:colOff>
      <xdr:row>21</xdr:row>
      <xdr:rowOff>114300</xdr:rowOff>
    </xdr:from>
    <xdr:to>
      <xdr:col>17</xdr:col>
      <xdr:colOff>563880</xdr:colOff>
      <xdr:row>44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87C215-2E73-D836-6B36-01B4E7A031D4}"/>
            </a:ext>
          </a:extLst>
        </xdr:cNvPr>
        <xdr:cNvSpPr txBox="1"/>
      </xdr:nvSpPr>
      <xdr:spPr>
        <a:xfrm>
          <a:off x="5379720" y="3954780"/>
          <a:ext cx="6789420" cy="424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latin typeface="Arial Black" panose="020B0A04020102020204" pitchFamily="34" charset="0"/>
            </a:rPr>
            <a:t>FOLLOWER RETENTION INSIGHTS:</a:t>
          </a:r>
        </a:p>
        <a:p>
          <a:endParaRPr lang="en-IN" sz="1800" b="1">
            <a:latin typeface="Arial Black" panose="020B0A04020102020204" pitchFamily="34" charset="0"/>
          </a:endParaRPr>
        </a:p>
        <a:p>
          <a:r>
            <a:rPr lang="en-IN" sz="1800" b="1">
              <a:latin typeface="Arial Black" panose="020B0A04020102020204" pitchFamily="34" charset="0"/>
            </a:rPr>
            <a:t>• Peak follower growth: Week of July 15, 2024 (1,960 Instagram followers in one week) – driven by Cybertruck launch</a:t>
          </a:r>
        </a:p>
        <a:p>
          <a:endParaRPr lang="en-IN" sz="1800" b="1">
            <a:latin typeface="Arial Black" panose="020B0A04020102020204" pitchFamily="34" charset="0"/>
          </a:endParaRPr>
        </a:p>
        <a:p>
          <a:r>
            <a:rPr lang="en-IN" sz="1800" b="1">
              <a:latin typeface="Arial Black" panose="020B0A04020102020204" pitchFamily="34" charset="0"/>
            </a:rPr>
            <a:t>• Platform trends: </a:t>
          </a:r>
        </a:p>
        <a:p>
          <a:r>
            <a:rPr lang="en-IN" sz="1800" b="1">
              <a:latin typeface="Arial Black" panose="020B0A04020102020204" pitchFamily="34" charset="0"/>
            </a:rPr>
            <a:t>  - Instagram: Strong upward trend, best for follower growth</a:t>
          </a:r>
        </a:p>
        <a:p>
          <a:r>
            <a:rPr lang="en-IN" sz="1800" b="1">
              <a:latin typeface="Arial Black" panose="020B0A04020102020204" pitchFamily="34" charset="0"/>
            </a:rPr>
            <a:t>  - YouTube: Steady moderate growth</a:t>
          </a:r>
        </a:p>
        <a:p>
          <a:r>
            <a:rPr lang="en-IN" sz="1800" b="1">
              <a:latin typeface="Arial Black" panose="020B0A04020102020204" pitchFamily="34" charset="0"/>
            </a:rPr>
            <a:t>  - Twitter/Facebook: Flat/declining trends</a:t>
          </a:r>
        </a:p>
        <a:p>
          <a:endParaRPr lang="en-IN" sz="1800" b="1">
            <a:latin typeface="Arial Black" panose="020B0A04020102020204" pitchFamily="34" charset="0"/>
          </a:endParaRPr>
        </a:p>
        <a:p>
          <a:r>
            <a:rPr lang="en-IN" sz="1800" b="1">
              <a:latin typeface="Arial Black" panose="020B0A04020102020204" pitchFamily="34" charset="0"/>
            </a:rPr>
            <a:t>• Ad Spend vs Followers: No strong correlation – followers are gained through compelling content and product launches, not paid ads</a:t>
          </a:r>
        </a:p>
        <a:p>
          <a:endParaRPr lang="en-IN" sz="1800" b="1">
            <a:latin typeface="Arial Black" panose="020B0A04020102020204" pitchFamily="34" charset="0"/>
          </a:endParaRPr>
        </a:p>
        <a:p>
          <a:r>
            <a:rPr lang="en-IN" sz="1800" b="1">
              <a:latin typeface="Arial Black" panose="020B0A04020102020204" pitchFamily="34" charset="0"/>
            </a:rPr>
            <a:t>• Recommendation: Focus on organic content (product reveals, updates) rather than heavy ad spending for follower growth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235528</xdr:colOff>
      <xdr:row>21</xdr:row>
      <xdr:rowOff>166254</xdr:rowOff>
    </xdr:from>
    <xdr:to>
      <xdr:col>13</xdr:col>
      <xdr:colOff>401782</xdr:colOff>
      <xdr:row>41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29AEE0-F08A-30E1-03F8-1DE480AC063A}"/>
            </a:ext>
          </a:extLst>
        </xdr:cNvPr>
        <xdr:cNvSpPr txBox="1"/>
      </xdr:nvSpPr>
      <xdr:spPr>
        <a:xfrm>
          <a:off x="1565564" y="3948545"/>
          <a:ext cx="13258800" cy="34359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Campaign Effectiveness Insights</a:t>
          </a:r>
        </a:p>
        <a:p>
          <a:r>
            <a:rPr lang="en-IN" sz="1400" b="1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Highest ROI Campaign: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CybertruckLaunch – Best engagement per dollar spent due to product excitement and organic buzz.</a:t>
          </a:r>
        </a:p>
        <a:p>
          <a:r>
            <a:rPr lang="en-IN" sz="1400" b="1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Strongest Follower Growth: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CybertruckLaunch – Gained the most new followers (approx. 15,000–20,000), especially on Instagram.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4.002793518521" createdVersion="8" refreshedVersion="8" minRefreshableVersion="3" recordCount="300" xr:uid="{F47D53F4-04AA-4A18-AF1C-70BE2E96D174}">
  <cacheSource type="worksheet">
    <worksheetSource ref="A1:N301" sheet="Posts"/>
  </cacheSource>
  <cacheFields count="14">
    <cacheField name="Post ID" numFmtId="3">
      <sharedItems/>
    </cacheField>
    <cacheField name="Clean Platform " numFmtId="3">
      <sharedItems count="4">
        <s v="Youtube"/>
        <s v="Facebook"/>
        <s v="Twitter"/>
        <s v="Instagram"/>
      </sharedItems>
    </cacheField>
    <cacheField name="Date" numFmtId="3">
      <sharedItems count="198">
        <s v="2024-09-02"/>
        <s v="2024-10-28"/>
        <s v="2024-12-03"/>
        <s v="2024-06-21"/>
        <s v="2024-07-31"/>
        <s v="2024-06-20"/>
        <s v="2024-10-22"/>
        <s v="2024-10-24"/>
        <s v="2025-04-17"/>
        <s v="2024-08-22"/>
        <s v="2025-03-29"/>
        <s v="2025-05-06"/>
        <s v="2024-10-18"/>
        <s v="2024-09-09"/>
        <s v="2024-11-28"/>
        <s v="2024-07-16"/>
        <s v="2024-10-27"/>
        <s v="2025-01-04"/>
        <s v="2024-07-01"/>
        <s v="2025-03-11"/>
        <s v="2024-11-21"/>
        <s v="2024-06-26"/>
        <s v="2025-04-07"/>
        <s v="2024-11-06"/>
        <s v="2024-06-03"/>
        <s v="2025-02-04"/>
        <s v="2024-06-22"/>
        <s v="2024-11-04"/>
        <s v="2025-04-28"/>
        <s v="2025-04-19"/>
        <s v="2025-01-23"/>
        <s v="2024-10-04"/>
        <s v="2024-07-02"/>
        <s v="2025-01-27"/>
        <s v="2025-04-03"/>
        <s v="2024-07-15"/>
        <s v="2024-10-21"/>
        <s v="2025-05-09"/>
        <s v="2024-08-31"/>
        <s v="2024-06-24"/>
        <s v="2024-08-13"/>
        <s v="2024-10-02"/>
        <s v="2025-02-12"/>
        <s v="2024-11-25"/>
        <s v="2025-03-24"/>
        <s v="2025-01-15"/>
        <s v="2024-11-12"/>
        <s v="2025-04-13"/>
        <s v="2025-04-10"/>
        <s v="2025-02-11"/>
        <s v="2024-11-08"/>
        <s v="2025-03-22"/>
        <s v="2024-08-30"/>
        <s v="2025-04-24"/>
        <s v="2024-08-24"/>
        <s v="2025-02-25"/>
        <s v="2024-08-26"/>
        <s v="2024-09-11"/>
        <s v="2025-05-05"/>
        <s v="2025-05-12"/>
        <s v="2024-08-03"/>
        <s v="2025-01-01"/>
        <s v="2025-03-25"/>
        <s v="2024-08-14"/>
        <s v="2025-02-19"/>
        <s v="2024-11-01"/>
        <s v="2025-03-06"/>
        <s v="2025-01-11"/>
        <s v="2024-11-26"/>
        <s v="2025-04-06"/>
        <s v="2025-04-01"/>
        <s v="2024-07-23"/>
        <s v="2025-05-01"/>
        <s v="2025-03-28"/>
        <s v="2025-03-19"/>
        <s v="2024-09-05"/>
        <s v="2024-07-10"/>
        <s v="2024-07-13"/>
        <s v="2024-07-03"/>
        <s v="2024-08-17"/>
        <s v="2025-05-11"/>
        <s v="2025-04-05"/>
        <s v="2025-01-12"/>
        <s v="2024-06-06"/>
        <s v="2024-11-23"/>
        <s v="2024-09-18"/>
        <s v="2024-06-11"/>
        <s v="2024-10-12"/>
        <s v="2024-11-14"/>
        <s v="2024-06-13"/>
        <s v="2024-10-09"/>
        <s v="2025-03-27"/>
        <s v="2025-02-27"/>
        <s v="2024-07-29"/>
        <s v="2025-03-03"/>
        <s v="2024-09-29"/>
        <s v="2025-03-08"/>
        <s v="2025-03-07"/>
        <s v="2024-08-12"/>
        <s v="2025-02-06"/>
        <s v="2024-07-18"/>
        <s v="2024-08-19"/>
        <s v="2024-12-20"/>
        <s v="2024-08-27"/>
        <s v="2024-07-26"/>
        <s v="2025-03-02"/>
        <s v="2024-12-22"/>
        <s v="2024-11-30"/>
        <s v="2024-12-09"/>
        <s v="2024-09-08"/>
        <s v="2024-12-29"/>
        <s v="2024-06-16"/>
        <s v="2025-02-16"/>
        <s v="2024-09-17"/>
        <s v="2024-10-29"/>
        <s v="2025-03-23"/>
        <s v="2024-07-28"/>
        <s v="2025-01-18"/>
        <s v="2024-06-02"/>
        <s v="2025-03-26"/>
        <s v="2024-12-18"/>
        <s v="2025-05-14"/>
        <s v="2025-04-22"/>
        <s v="2024-07-07"/>
        <s v="2024-06-19"/>
        <s v="2025-02-17"/>
        <s v="2024-06-10"/>
        <s v="2025-01-10"/>
        <s v="2025-03-18"/>
        <s v="2024-08-08"/>
        <s v="2024-10-08"/>
        <s v="2025-02-02"/>
        <s v="2025-04-15"/>
        <s v="2025-02-10"/>
        <s v="2025-01-06"/>
        <s v="2024-06-01"/>
        <s v="2024-10-31"/>
        <s v="2024-07-21"/>
        <s v="2024-10-25"/>
        <s v="2024-08-11"/>
        <s v="2024-12-21"/>
        <s v="2024-11-05"/>
        <s v="2024-12-11"/>
        <s v="2025-04-08"/>
        <s v="2024-11-18"/>
        <s v="2024-07-11"/>
        <s v="2024-12-23"/>
        <s v="2024-06-14"/>
        <s v="2024-08-01"/>
        <s v="2025-02-24"/>
        <s v="2024-08-05"/>
        <s v="2025-01-14"/>
        <s v="2024-10-17"/>
        <s v="2025-03-04"/>
        <s v="2024-09-25"/>
        <s v="2024-10-19"/>
        <s v="2024-12-19"/>
        <s v="2024-09-10"/>
        <s v="2024-10-03"/>
        <s v="2024-06-17"/>
        <s v="2025-03-13"/>
        <s v="2024-11-07"/>
        <s v="2024-06-05"/>
        <s v="2024-12-31"/>
        <s v="2024-10-05"/>
        <s v="2024-08-21"/>
        <s v="2024-06-23"/>
        <s v="2024-12-05"/>
        <s v="2024-12-08"/>
        <s v="2024-07-24"/>
        <s v="2024-11-29"/>
        <s v="2024-12-14"/>
        <s v="2024-08-20"/>
        <s v="2025-01-31"/>
        <s v="2025-03-05"/>
        <s v="2024-11-17"/>
        <s v="2024-08-15"/>
        <s v="2025-01-28"/>
        <s v="2025-02-20"/>
        <s v="2024-12-24"/>
        <s v="2025-01-03"/>
        <s v="2025-02-07"/>
        <s v="2024-10-15"/>
        <s v="2024-09-14"/>
        <s v="2024-06-07"/>
        <s v="2025-05-02"/>
        <s v="2024-08-07"/>
        <s v="2025-03-21"/>
        <s v="2024-10-11"/>
        <s v="2024-12-17"/>
        <s v="2024-06-12"/>
        <s v="2025-05-13"/>
        <s v="2025-04-02"/>
        <s v="2024-12-16"/>
        <s v="2025-01-17"/>
        <s v="2025-04-29"/>
        <s v="2024-11-22"/>
        <s v="2025-01-30"/>
      </sharedItems>
    </cacheField>
    <cacheField name="Content Type" numFmtId="3">
      <sharedItems count="6">
        <s v="Image"/>
        <s v="Story"/>
        <s v="Carousel"/>
        <s v="Reel"/>
        <s v="Video"/>
        <s v="Text"/>
      </sharedItems>
    </cacheField>
    <cacheField name="Post Text" numFmtId="3">
      <sharedItems count="24">
        <s v="Check out our latest image on youtube!"/>
        <s v="Check out our latest story on youtube!"/>
        <s v="Check out our latest image on facebook!"/>
        <s v="Check out our latest carousel on twitter!"/>
        <s v="Check out our latest reel on twitter!"/>
        <s v="Check out our latest carousel on youtube!"/>
        <s v="Check out our latest carousel on facebook!"/>
        <s v="Check out our latest story on facebook!"/>
        <s v="Check out our latest video on facebook!"/>
        <s v="Check out our latest carousel on instagram!"/>
        <s v="Check out our latest text on facebook!"/>
        <s v="Check out our latest video on youtube!"/>
        <s v="Check out our latest text on twitter!"/>
        <s v="Check out our latest image on instagram!"/>
        <s v="Check out our latest reel on instagram!"/>
        <s v="Check out our latest story on instagram!"/>
        <s v="Check out our latest reel on youtube!"/>
        <s v="Check out our latest reel on facebook!"/>
        <s v="Check out our latest image on twitter!"/>
        <s v="Check out our latest video on twitter!"/>
        <s v="Check out our latest text on youtube!"/>
        <s v="Check out our latest text on instagram!"/>
        <s v="Check out our latest video on instagram!"/>
        <s v="Check out our latest story on twitter!"/>
      </sharedItems>
    </cacheField>
    <cacheField name="Likes" numFmtId="3">
      <sharedItems containsSemiMixedTypes="0" containsString="0" containsNumber="1" containsInteger="1" minValue="53" maxValue="4941"/>
    </cacheField>
    <cacheField name="Shares" numFmtId="3">
      <sharedItems containsSemiMixedTypes="0" containsString="0" containsNumber="1" containsInteger="1" minValue="10" maxValue="983"/>
    </cacheField>
    <cacheField name="Comments" numFmtId="3">
      <sharedItems containsSemiMixedTypes="0" containsString="0" containsNumber="1" containsInteger="1" minValue="7" maxValue="500"/>
    </cacheField>
    <cacheField name="Impressions" numFmtId="3">
      <sharedItems containsSemiMixedTypes="0" containsString="0" containsNumber="1" containsInteger="1" minValue="588" maxValue="98100"/>
    </cacheField>
    <cacheField name="Reach" numFmtId="3">
      <sharedItems containsSemiMixedTypes="0" containsString="0" containsNumber="1" containsInteger="1" minValue="7" maxValue="97772"/>
    </cacheField>
    <cacheField name="Clicks" numFmtId="3">
      <sharedItems containsSemiMixedTypes="0" containsString="0" containsNumber="1" containsInteger="1" minValue="10" maxValue="300"/>
    </cacheField>
    <cacheField name="Hashtags Used" numFmtId="3">
      <sharedItems count="3">
        <s v="#TeslaCoInnovation"/>
        <s v="#EVRevolution"/>
        <s v="#FutureOfDriving"/>
      </sharedItems>
    </cacheField>
    <cacheField name="Hashtags used2" numFmtId="3">
      <sharedItems containsBlank="1" count="6">
        <m/>
        <s v="#TeslaCoInnovation"/>
        <s v="#BetterWithTesla"/>
        <s v="#EVRevolution"/>
        <s v="#AnytimeIsTeslaTime"/>
        <s v="#SmoothLikeNitroTesla"/>
      </sharedItems>
    </cacheField>
    <cacheField name="Engagement Rate" numFmtId="0">
      <sharedItems containsSemiMixedTypes="0" containsString="0" containsNumber="1" minValue="1.0060279899225726" maxValue="2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4.042566203701" createdVersion="8" refreshedVersion="8" minRefreshableVersion="3" recordCount="200" xr:uid="{D2EE4D01-FFB5-4B2F-85F4-F402175DA3CC}">
  <cacheSource type="worksheet">
    <worksheetSource ref="A1:G201" sheet="Engagement Summary"/>
  </cacheSource>
  <cacheFields count="7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79"/>
    <x v="0"/>
    <x v="0"/>
    <x v="0"/>
    <x v="0"/>
    <n v="4905"/>
    <n v="845"/>
    <n v="129"/>
    <n v="98100"/>
    <n v="97772"/>
    <n v="279"/>
    <x v="0"/>
    <x v="0"/>
    <n v="1.0133166959865809"/>
  </r>
  <r>
    <s v="P144"/>
    <x v="0"/>
    <x v="1"/>
    <x v="1"/>
    <x v="1"/>
    <n v="4929"/>
    <n v="749"/>
    <n v="452"/>
    <n v="93651"/>
    <n v="92810"/>
    <n v="66"/>
    <x v="1"/>
    <x v="0"/>
    <n v="1.0220019394461803"/>
  </r>
  <r>
    <s v="P217"/>
    <x v="1"/>
    <x v="2"/>
    <x v="0"/>
    <x v="2"/>
    <n v="4606"/>
    <n v="931"/>
    <n v="230"/>
    <n v="92120"/>
    <n v="91440"/>
    <n v="56"/>
    <x v="0"/>
    <x v="0"/>
    <n v="1.0201334208223971"/>
  </r>
  <r>
    <s v="P107"/>
    <x v="0"/>
    <x v="3"/>
    <x v="0"/>
    <x v="0"/>
    <n v="4832"/>
    <n v="893"/>
    <n v="10"/>
    <n v="91808"/>
    <n v="91296"/>
    <n v="182"/>
    <x v="0"/>
    <x v="0"/>
    <n v="1.0154990361023484"/>
  </r>
  <r>
    <s v="P063"/>
    <x v="2"/>
    <x v="4"/>
    <x v="2"/>
    <x v="3"/>
    <n v="4507"/>
    <n v="217"/>
    <n v="13"/>
    <n v="90140"/>
    <n v="89591"/>
    <n v="125"/>
    <x v="2"/>
    <x v="0"/>
    <n v="1.0086950698172807"/>
  </r>
  <r>
    <s v="P225"/>
    <x v="2"/>
    <x v="5"/>
    <x v="2"/>
    <x v="3"/>
    <n v="4672"/>
    <n v="325"/>
    <n v="32"/>
    <n v="88768"/>
    <n v="87833"/>
    <n v="118"/>
    <x v="1"/>
    <x v="0"/>
    <n v="1.0147097332437693"/>
  </r>
  <r>
    <s v="P197"/>
    <x v="2"/>
    <x v="6"/>
    <x v="3"/>
    <x v="4"/>
    <n v="4782"/>
    <n v="721"/>
    <n v="82"/>
    <n v="86076"/>
    <n v="85339"/>
    <n v="19"/>
    <x v="1"/>
    <x v="0"/>
    <n v="1.0180456766542847"/>
  </r>
  <r>
    <s v="P298"/>
    <x v="1"/>
    <x v="7"/>
    <x v="0"/>
    <x v="2"/>
    <n v="4303"/>
    <n v="451"/>
    <n v="286"/>
    <n v="86060"/>
    <n v="85823"/>
    <n v="14"/>
    <x v="0"/>
    <x v="0"/>
    <n v="1.0113489390955805"/>
  </r>
  <r>
    <s v="P288"/>
    <x v="0"/>
    <x v="8"/>
    <x v="2"/>
    <x v="5"/>
    <n v="4780"/>
    <n v="691"/>
    <n v="380"/>
    <n v="86040"/>
    <n v="85743"/>
    <n v="262"/>
    <x v="2"/>
    <x v="0"/>
    <n v="1.0159546551905112"/>
  </r>
  <r>
    <s v="P150"/>
    <x v="0"/>
    <x v="9"/>
    <x v="2"/>
    <x v="5"/>
    <n v="4295"/>
    <n v="853"/>
    <n v="325"/>
    <n v="85900"/>
    <n v="85788"/>
    <n v="290"/>
    <x v="0"/>
    <x v="0"/>
    <n v="1.0150370681214156"/>
  </r>
  <r>
    <s v="P067"/>
    <x v="1"/>
    <x v="10"/>
    <x v="2"/>
    <x v="6"/>
    <n v="4712"/>
    <n v="568"/>
    <n v="127"/>
    <n v="84816"/>
    <n v="84691"/>
    <n v="100"/>
    <x v="1"/>
    <x v="0"/>
    <n v="1.0096822566742629"/>
  </r>
  <r>
    <s v="P215"/>
    <x v="1"/>
    <x v="11"/>
    <x v="0"/>
    <x v="2"/>
    <n v="4872"/>
    <n v="925"/>
    <n v="176"/>
    <n v="82824"/>
    <n v="82543"/>
    <n v="89"/>
    <x v="1"/>
    <x v="0"/>
    <n v="1.0167427886071503"/>
  </r>
  <r>
    <s v="P073"/>
    <x v="1"/>
    <x v="12"/>
    <x v="1"/>
    <x v="7"/>
    <n v="4126"/>
    <n v="426"/>
    <n v="486"/>
    <n v="78394"/>
    <n v="77798"/>
    <n v="88"/>
    <x v="2"/>
    <x v="0"/>
    <n v="1.0193835317103268"/>
  </r>
  <r>
    <s v="P015"/>
    <x v="1"/>
    <x v="7"/>
    <x v="4"/>
    <x v="8"/>
    <n v="3888"/>
    <n v="604"/>
    <n v="128"/>
    <n v="77760"/>
    <n v="77167"/>
    <n v="20"/>
    <x v="2"/>
    <x v="0"/>
    <n v="1.0171705521790402"/>
  </r>
  <r>
    <s v="P020"/>
    <x v="3"/>
    <x v="13"/>
    <x v="2"/>
    <x v="9"/>
    <n v="4054"/>
    <n v="488"/>
    <n v="373"/>
    <n v="77026"/>
    <n v="76881"/>
    <n v="25"/>
    <x v="0"/>
    <x v="0"/>
    <n v="1.013085157581197"/>
  </r>
  <r>
    <s v="P176"/>
    <x v="1"/>
    <x v="5"/>
    <x v="4"/>
    <x v="8"/>
    <n v="3798"/>
    <n v="31"/>
    <n v="279"/>
    <n v="75960"/>
    <n v="75813"/>
    <n v="266"/>
    <x v="0"/>
    <x v="0"/>
    <n v="1.0060279899225726"/>
  </r>
  <r>
    <s v="P135"/>
    <x v="1"/>
    <x v="14"/>
    <x v="5"/>
    <x v="10"/>
    <n v="4213"/>
    <n v="253"/>
    <n v="434"/>
    <n v="75834"/>
    <n v="75437"/>
    <n v="272"/>
    <x v="2"/>
    <x v="0"/>
    <n v="1.0143696064265546"/>
  </r>
  <r>
    <s v="P101"/>
    <x v="0"/>
    <x v="12"/>
    <x v="4"/>
    <x v="11"/>
    <n v="4450"/>
    <n v="983"/>
    <n v="143"/>
    <n v="75650"/>
    <n v="75008"/>
    <n v="12"/>
    <x v="2"/>
    <x v="0"/>
    <n v="1.023570819112628"/>
  </r>
  <r>
    <s v="P238"/>
    <x v="2"/>
    <x v="15"/>
    <x v="5"/>
    <x v="12"/>
    <n v="4725"/>
    <n v="400"/>
    <n v="362"/>
    <n v="75600"/>
    <n v="74927"/>
    <n v="43"/>
    <x v="2"/>
    <x v="0"/>
    <n v="1.0191519745885995"/>
  </r>
  <r>
    <s v="P261"/>
    <x v="3"/>
    <x v="16"/>
    <x v="0"/>
    <x v="13"/>
    <n v="4853"/>
    <n v="837"/>
    <n v="340"/>
    <n v="72795"/>
    <n v="72237"/>
    <n v="170"/>
    <x v="1"/>
    <x v="0"/>
    <n v="1.024018162437532"/>
  </r>
  <r>
    <s v="P021"/>
    <x v="3"/>
    <x v="17"/>
    <x v="3"/>
    <x v="14"/>
    <n v="4838"/>
    <n v="640"/>
    <n v="128"/>
    <n v="72570"/>
    <n v="72396"/>
    <n v="83"/>
    <x v="2"/>
    <x v="0"/>
    <n v="1.0130117686060003"/>
  </r>
  <r>
    <s v="P228"/>
    <x v="3"/>
    <x v="18"/>
    <x v="1"/>
    <x v="15"/>
    <n v="4808"/>
    <n v="772"/>
    <n v="320"/>
    <n v="72120"/>
    <n v="71696"/>
    <n v="195"/>
    <x v="1"/>
    <x v="0"/>
    <n v="1.0211448337424682"/>
  </r>
  <r>
    <s v="P010"/>
    <x v="1"/>
    <x v="19"/>
    <x v="0"/>
    <x v="2"/>
    <n v="4241"/>
    <n v="902"/>
    <n v="47"/>
    <n v="72097"/>
    <n v="71598"/>
    <n v="167"/>
    <x v="0"/>
    <x v="0"/>
    <n v="1.0202240286041508"/>
  </r>
  <r>
    <s v="P203"/>
    <x v="3"/>
    <x v="20"/>
    <x v="2"/>
    <x v="9"/>
    <n v="3773"/>
    <n v="299"/>
    <n v="38"/>
    <n v="71687"/>
    <n v="71447"/>
    <n v="286"/>
    <x v="2"/>
    <x v="0"/>
    <n v="1.0080759164135653"/>
  </r>
  <r>
    <s v="P237"/>
    <x v="3"/>
    <x v="6"/>
    <x v="1"/>
    <x v="15"/>
    <n v="3770"/>
    <n v="917"/>
    <n v="129"/>
    <n v="71630"/>
    <n v="71322"/>
    <n v="76"/>
    <x v="2"/>
    <x v="0"/>
    <n v="1.0189843246123216"/>
  </r>
  <r>
    <s v="P005"/>
    <x v="0"/>
    <x v="21"/>
    <x v="3"/>
    <x v="16"/>
    <n v="3557"/>
    <n v="687"/>
    <n v="424"/>
    <n v="71140"/>
    <n v="70701"/>
    <n v="224"/>
    <x v="1"/>
    <x v="1"/>
    <n v="1.0219233108442596"/>
  </r>
  <r>
    <s v="P200"/>
    <x v="1"/>
    <x v="22"/>
    <x v="3"/>
    <x v="17"/>
    <n v="3718"/>
    <n v="385"/>
    <n v="310"/>
    <n v="70642"/>
    <n v="69749"/>
    <n v="233"/>
    <x v="0"/>
    <x v="0"/>
    <n v="1.0227673515032474"/>
  </r>
  <r>
    <s v="P291"/>
    <x v="1"/>
    <x v="23"/>
    <x v="4"/>
    <x v="8"/>
    <n v="4663"/>
    <n v="145"/>
    <n v="225"/>
    <n v="69945"/>
    <n v="69596"/>
    <n v="35"/>
    <x v="1"/>
    <x v="0"/>
    <n v="1.0103310535088224"/>
  </r>
  <r>
    <s v="P090"/>
    <x v="3"/>
    <x v="24"/>
    <x v="0"/>
    <x v="13"/>
    <n v="3861"/>
    <n v="960"/>
    <n v="101"/>
    <n v="69498"/>
    <n v="68817"/>
    <n v="297"/>
    <x v="0"/>
    <x v="0"/>
    <n v="1.0253135126494908"/>
  </r>
  <r>
    <s v="P106"/>
    <x v="3"/>
    <x v="25"/>
    <x v="0"/>
    <x v="13"/>
    <n v="4619"/>
    <n v="821"/>
    <n v="499"/>
    <n v="69285"/>
    <n v="69141"/>
    <n v="298"/>
    <x v="0"/>
    <x v="0"/>
    <n v="1.0211741224454376"/>
  </r>
  <r>
    <s v="P250"/>
    <x v="1"/>
    <x v="26"/>
    <x v="3"/>
    <x v="17"/>
    <n v="3813"/>
    <n v="935"/>
    <n v="274"/>
    <n v="68634"/>
    <n v="68488"/>
    <n v="251"/>
    <x v="2"/>
    <x v="0"/>
    <n v="1.0197844877934821"/>
  </r>
  <r>
    <s v="P118"/>
    <x v="1"/>
    <x v="27"/>
    <x v="0"/>
    <x v="2"/>
    <n v="4551"/>
    <n v="714"/>
    <n v="207"/>
    <n v="68265"/>
    <n v="67754"/>
    <n v="57"/>
    <x v="2"/>
    <x v="0"/>
    <n v="1.0211352835256959"/>
  </r>
  <r>
    <s v="P170"/>
    <x v="2"/>
    <x v="28"/>
    <x v="5"/>
    <x v="12"/>
    <n v="3577"/>
    <n v="596"/>
    <n v="493"/>
    <n v="67963"/>
    <n v="67839"/>
    <n v="53"/>
    <x v="0"/>
    <x v="0"/>
    <n v="1.017880570173499"/>
  </r>
  <r>
    <s v="P036"/>
    <x v="3"/>
    <x v="29"/>
    <x v="1"/>
    <x v="15"/>
    <n v="4518"/>
    <n v="285"/>
    <n v="383"/>
    <n v="67770"/>
    <n v="67621"/>
    <n v="31"/>
    <x v="1"/>
    <x v="0"/>
    <n v="1.0120820455184041"/>
  </r>
  <r>
    <s v="P024"/>
    <x v="1"/>
    <x v="30"/>
    <x v="4"/>
    <x v="8"/>
    <n v="3961"/>
    <n v="761"/>
    <n v="131"/>
    <n v="67337"/>
    <n v="66615"/>
    <n v="161"/>
    <x v="2"/>
    <x v="0"/>
    <n v="1.0242287773024095"/>
  </r>
  <r>
    <s v="P267"/>
    <x v="2"/>
    <x v="31"/>
    <x v="3"/>
    <x v="4"/>
    <n v="4187"/>
    <n v="66"/>
    <n v="31"/>
    <n v="66992"/>
    <n v="66614"/>
    <n v="62"/>
    <x v="2"/>
    <x v="0"/>
    <n v="1.0071306332002281"/>
  </r>
  <r>
    <s v="P099"/>
    <x v="0"/>
    <x v="32"/>
    <x v="2"/>
    <x v="5"/>
    <n v="4171"/>
    <n v="548"/>
    <n v="86"/>
    <n v="66736"/>
    <n v="66634"/>
    <n v="173"/>
    <x v="2"/>
    <x v="0"/>
    <n v="1.0110454122520034"/>
  </r>
  <r>
    <s v="P127"/>
    <x v="1"/>
    <x v="33"/>
    <x v="3"/>
    <x v="17"/>
    <n v="3452"/>
    <n v="652"/>
    <n v="442"/>
    <n v="65588"/>
    <n v="65049"/>
    <n v="158"/>
    <x v="2"/>
    <x v="0"/>
    <n v="1.0251041522544544"/>
  </r>
  <r>
    <s v="P002"/>
    <x v="2"/>
    <x v="34"/>
    <x v="5"/>
    <x v="12"/>
    <n v="4054"/>
    <n v="389"/>
    <n v="493"/>
    <n v="64864"/>
    <n v="64383"/>
    <n v="117"/>
    <x v="0"/>
    <x v="2"/>
    <n v="1.021170184676079"/>
  </r>
  <r>
    <s v="P179"/>
    <x v="1"/>
    <x v="35"/>
    <x v="2"/>
    <x v="6"/>
    <n v="3796"/>
    <n v="667"/>
    <n v="395"/>
    <n v="64532"/>
    <n v="63550"/>
    <n v="292"/>
    <x v="0"/>
    <x v="0"/>
    <n v="1.0321636506687648"/>
  </r>
  <r>
    <s v="P280"/>
    <x v="0"/>
    <x v="36"/>
    <x v="4"/>
    <x v="11"/>
    <n v="4275"/>
    <n v="680"/>
    <n v="385"/>
    <n v="64125"/>
    <n v="63650"/>
    <n v="104"/>
    <x v="1"/>
    <x v="1"/>
    <n v="1.0241948153967007"/>
  </r>
  <r>
    <s v="P283"/>
    <x v="2"/>
    <x v="37"/>
    <x v="3"/>
    <x v="4"/>
    <n v="3367"/>
    <n v="302"/>
    <n v="57"/>
    <n v="63973"/>
    <n v="63789"/>
    <n v="157"/>
    <x v="2"/>
    <x v="0"/>
    <n v="1.0085124394488079"/>
  </r>
  <r>
    <s v="P300"/>
    <x v="2"/>
    <x v="38"/>
    <x v="2"/>
    <x v="3"/>
    <n v="4494"/>
    <n v="717"/>
    <n v="45"/>
    <n v="62916"/>
    <n v="62688"/>
    <n v="191"/>
    <x v="0"/>
    <x v="3"/>
    <n v="1.0157924961715161"/>
  </r>
  <r>
    <s v="P007"/>
    <x v="2"/>
    <x v="39"/>
    <x v="2"/>
    <x v="3"/>
    <n v="3860"/>
    <n v="201"/>
    <n v="279"/>
    <n v="61760"/>
    <n v="61660"/>
    <n v="235"/>
    <x v="0"/>
    <x v="0"/>
    <n v="1.009406422315926"/>
  </r>
  <r>
    <s v="P097"/>
    <x v="3"/>
    <x v="40"/>
    <x v="0"/>
    <x v="13"/>
    <n v="4739"/>
    <n v="527"/>
    <n v="135"/>
    <n v="61607"/>
    <n v="61333"/>
    <n v="36"/>
    <x v="0"/>
    <x v="4"/>
    <n v="1.0152609525051766"/>
  </r>
  <r>
    <s v="P194"/>
    <x v="0"/>
    <x v="41"/>
    <x v="1"/>
    <x v="1"/>
    <n v="4350"/>
    <n v="771"/>
    <n v="7"/>
    <n v="60900"/>
    <n v="60592"/>
    <n v="195"/>
    <x v="1"/>
    <x v="0"/>
    <n v="1.017923158172696"/>
  </r>
  <r>
    <s v="P260"/>
    <x v="3"/>
    <x v="42"/>
    <x v="1"/>
    <x v="15"/>
    <n v="4332"/>
    <n v="771"/>
    <n v="219"/>
    <n v="60648"/>
    <n v="60397"/>
    <n v="10"/>
    <x v="0"/>
    <x v="3"/>
    <n v="1.0205473781810355"/>
  </r>
  <r>
    <s v="P039"/>
    <x v="1"/>
    <x v="43"/>
    <x v="0"/>
    <x v="2"/>
    <n v="3564"/>
    <n v="629"/>
    <n v="177"/>
    <n v="60588"/>
    <n v="59627"/>
    <n v="92"/>
    <x v="0"/>
    <x v="0"/>
    <n v="1.0296342261056233"/>
  </r>
  <r>
    <s v="P189"/>
    <x v="1"/>
    <x v="44"/>
    <x v="3"/>
    <x v="17"/>
    <n v="3360"/>
    <n v="525"/>
    <n v="500"/>
    <n v="60480"/>
    <n v="59610"/>
    <n v="192"/>
    <x v="0"/>
    <x v="0"/>
    <n v="1.0317899681261533"/>
  </r>
  <r>
    <s v="P270"/>
    <x v="0"/>
    <x v="45"/>
    <x v="3"/>
    <x v="16"/>
    <n v="3774"/>
    <n v="239"/>
    <n v="39"/>
    <n v="60384"/>
    <n v="59490"/>
    <n v="241"/>
    <x v="0"/>
    <x v="0"/>
    <n v="1.0197007900487476"/>
  </r>
  <r>
    <s v="P223"/>
    <x v="2"/>
    <x v="46"/>
    <x v="0"/>
    <x v="18"/>
    <n v="3338"/>
    <n v="277"/>
    <n v="118"/>
    <n v="60084"/>
    <n v="59842"/>
    <n v="252"/>
    <x v="0"/>
    <x v="0"/>
    <n v="1.0106446977039538"/>
  </r>
  <r>
    <s v="P268"/>
    <x v="3"/>
    <x v="47"/>
    <x v="3"/>
    <x v="14"/>
    <n v="4579"/>
    <n v="125"/>
    <n v="300"/>
    <n v="59527"/>
    <n v="59400"/>
    <n v="269"/>
    <x v="1"/>
    <x v="0"/>
    <n v="1.0092929292929294"/>
  </r>
  <r>
    <s v="P025"/>
    <x v="2"/>
    <x v="48"/>
    <x v="2"/>
    <x v="3"/>
    <n v="3128"/>
    <n v="211"/>
    <n v="197"/>
    <n v="59432"/>
    <n v="59182"/>
    <n v="238"/>
    <x v="1"/>
    <x v="0"/>
    <n v="1.0111182454124565"/>
  </r>
  <r>
    <s v="P296"/>
    <x v="2"/>
    <x v="49"/>
    <x v="4"/>
    <x v="19"/>
    <n v="3440"/>
    <n v="13"/>
    <n v="20"/>
    <n v="58480"/>
    <n v="58146"/>
    <n v="210"/>
    <x v="0"/>
    <x v="5"/>
    <n v="1.0063116981391669"/>
  </r>
  <r>
    <s v="P086"/>
    <x v="0"/>
    <x v="33"/>
    <x v="5"/>
    <x v="20"/>
    <n v="3428"/>
    <n v="305"/>
    <n v="85"/>
    <n v="58276"/>
    <n v="58052"/>
    <n v="242"/>
    <x v="1"/>
    <x v="2"/>
    <n v="1.0105767243161303"/>
  </r>
  <r>
    <s v="P095"/>
    <x v="3"/>
    <x v="50"/>
    <x v="5"/>
    <x v="21"/>
    <n v="3182"/>
    <n v="559"/>
    <n v="160"/>
    <n v="57276"/>
    <n v="56890"/>
    <n v="163"/>
    <x v="2"/>
    <x v="0"/>
    <n v="1.0194234487607663"/>
  </r>
  <r>
    <s v="P167"/>
    <x v="3"/>
    <x v="14"/>
    <x v="5"/>
    <x v="21"/>
    <n v="4771"/>
    <n v="818"/>
    <n v="56"/>
    <n v="57252"/>
    <n v="56378"/>
    <n v="150"/>
    <x v="2"/>
    <x v="0"/>
    <n v="1.0310050019511157"/>
  </r>
  <r>
    <s v="P281"/>
    <x v="0"/>
    <x v="51"/>
    <x v="0"/>
    <x v="0"/>
    <n v="3166"/>
    <n v="90"/>
    <n v="341"/>
    <n v="56988"/>
    <n v="56125"/>
    <n v="135"/>
    <x v="1"/>
    <x v="0"/>
    <n v="1.0230556792873051"/>
  </r>
  <r>
    <s v="P009"/>
    <x v="1"/>
    <x v="52"/>
    <x v="5"/>
    <x v="10"/>
    <n v="3784"/>
    <n v="808"/>
    <n v="404"/>
    <n v="56760"/>
    <n v="56343"/>
    <n v="131"/>
    <x v="0"/>
    <x v="0"/>
    <n v="1.0289121984984826"/>
  </r>
  <r>
    <s v="P134"/>
    <x v="2"/>
    <x v="53"/>
    <x v="3"/>
    <x v="4"/>
    <n v="3731"/>
    <n v="115"/>
    <n v="135"/>
    <n v="55965"/>
    <n v="55436"/>
    <n v="103"/>
    <x v="0"/>
    <x v="0"/>
    <n v="1.0140522404213868"/>
  </r>
  <r>
    <s v="P186"/>
    <x v="1"/>
    <x v="54"/>
    <x v="2"/>
    <x v="6"/>
    <n v="4292"/>
    <n v="51"/>
    <n v="392"/>
    <n v="55796"/>
    <n v="54826"/>
    <n v="264"/>
    <x v="1"/>
    <x v="0"/>
    <n v="1.0257724437310765"/>
  </r>
  <r>
    <s v="P030"/>
    <x v="3"/>
    <x v="55"/>
    <x v="4"/>
    <x v="22"/>
    <n v="3095"/>
    <n v="39"/>
    <n v="78"/>
    <n v="55710"/>
    <n v="54808"/>
    <n v="93"/>
    <x v="1"/>
    <x v="0"/>
    <n v="1.0185921763246242"/>
  </r>
  <r>
    <s v="P191"/>
    <x v="0"/>
    <x v="2"/>
    <x v="1"/>
    <x v="1"/>
    <n v="4285"/>
    <n v="886"/>
    <n v="376"/>
    <n v="55705"/>
    <n v="55556"/>
    <n v="51"/>
    <x v="2"/>
    <x v="0"/>
    <n v="1.0253977968176256"/>
  </r>
  <r>
    <s v="P016"/>
    <x v="1"/>
    <x v="56"/>
    <x v="5"/>
    <x v="10"/>
    <n v="3452"/>
    <n v="377"/>
    <n v="360"/>
    <n v="55232"/>
    <n v="55075"/>
    <n v="87"/>
    <x v="2"/>
    <x v="0"/>
    <n v="1.0162324103495233"/>
  </r>
  <r>
    <s v="P122"/>
    <x v="3"/>
    <x v="41"/>
    <x v="5"/>
    <x v="21"/>
    <n v="3432"/>
    <n v="869"/>
    <n v="123"/>
    <n v="54912"/>
    <n v="53916"/>
    <n v="264"/>
    <x v="1"/>
    <x v="0"/>
    <n v="1.0368721715260776"/>
  </r>
  <r>
    <s v="P193"/>
    <x v="2"/>
    <x v="57"/>
    <x v="0"/>
    <x v="18"/>
    <n v="4858"/>
    <n v="317"/>
    <n v="129"/>
    <n v="53438"/>
    <n v="52687"/>
    <n v="223"/>
    <x v="1"/>
    <x v="0"/>
    <n v="1.0227190768121168"/>
  </r>
  <r>
    <s v="P017"/>
    <x v="1"/>
    <x v="58"/>
    <x v="5"/>
    <x v="10"/>
    <n v="4441"/>
    <n v="511"/>
    <n v="70"/>
    <n v="53292"/>
    <n v="53082"/>
    <n v="159"/>
    <x v="1"/>
    <x v="0"/>
    <n v="1.0149014731924193"/>
  </r>
  <r>
    <s v="P003"/>
    <x v="0"/>
    <x v="59"/>
    <x v="3"/>
    <x v="16"/>
    <n v="2795"/>
    <n v="105"/>
    <n v="49"/>
    <n v="53105"/>
    <n v="52307"/>
    <n v="204"/>
    <x v="0"/>
    <x v="0"/>
    <n v="1.0182002408855411"/>
  </r>
  <r>
    <s v="P253"/>
    <x v="2"/>
    <x v="60"/>
    <x v="3"/>
    <x v="4"/>
    <n v="3791"/>
    <n v="593"/>
    <n v="228"/>
    <n v="53074"/>
    <n v="52613"/>
    <n v="205"/>
    <x v="1"/>
    <x v="0"/>
    <n v="1.0243666014102979"/>
  </r>
  <r>
    <s v="P274"/>
    <x v="2"/>
    <x v="61"/>
    <x v="2"/>
    <x v="3"/>
    <n v="3535"/>
    <n v="494"/>
    <n v="152"/>
    <n v="53025"/>
    <n v="52791"/>
    <n v="44"/>
    <x v="0"/>
    <x v="0"/>
    <n v="1.016669508060086"/>
  </r>
  <r>
    <s v="P108"/>
    <x v="2"/>
    <x v="62"/>
    <x v="4"/>
    <x v="19"/>
    <n v="4050"/>
    <n v="871"/>
    <n v="347"/>
    <n v="52650"/>
    <n v="51755"/>
    <n v="209"/>
    <x v="0"/>
    <x v="0"/>
    <n v="1.0408269732393005"/>
  </r>
  <r>
    <s v="P172"/>
    <x v="1"/>
    <x v="63"/>
    <x v="2"/>
    <x v="6"/>
    <n v="3073"/>
    <n v="553"/>
    <n v="174"/>
    <n v="52241"/>
    <n v="51605"/>
    <n v="246"/>
    <x v="1"/>
    <x v="0"/>
    <n v="1.0264121693634338"/>
  </r>
  <r>
    <s v="P182"/>
    <x v="1"/>
    <x v="4"/>
    <x v="0"/>
    <x v="2"/>
    <n v="4689"/>
    <n v="134"/>
    <n v="403"/>
    <n v="51579"/>
    <n v="50924"/>
    <n v="173"/>
    <x v="0"/>
    <x v="0"/>
    <n v="1.0234074306810148"/>
  </r>
  <r>
    <s v="P161"/>
    <x v="2"/>
    <x v="64"/>
    <x v="5"/>
    <x v="12"/>
    <n v="4671"/>
    <n v="876"/>
    <n v="366"/>
    <n v="51381"/>
    <n v="50565"/>
    <n v="245"/>
    <x v="0"/>
    <x v="0"/>
    <n v="1.0407000889943636"/>
  </r>
  <r>
    <s v="P230"/>
    <x v="1"/>
    <x v="35"/>
    <x v="3"/>
    <x v="17"/>
    <n v="3663"/>
    <n v="17"/>
    <n v="295"/>
    <n v="51282"/>
    <n v="50567"/>
    <n v="84"/>
    <x v="1"/>
    <x v="0"/>
    <n v="1.0203096881365317"/>
  </r>
  <r>
    <s v="P045"/>
    <x v="1"/>
    <x v="65"/>
    <x v="4"/>
    <x v="8"/>
    <n v="3371"/>
    <n v="106"/>
    <n v="327"/>
    <n v="50565"/>
    <n v="49816"/>
    <n v="176"/>
    <x v="2"/>
    <x v="0"/>
    <n v="1.0237273165248113"/>
  </r>
  <r>
    <s v="P243"/>
    <x v="2"/>
    <x v="66"/>
    <x v="0"/>
    <x v="18"/>
    <n v="3592"/>
    <n v="911"/>
    <n v="375"/>
    <n v="50288"/>
    <n v="49490"/>
    <n v="32"/>
    <x v="2"/>
    <x v="0"/>
    <n v="1.0421095170741563"/>
  </r>
  <r>
    <s v="P266"/>
    <x v="1"/>
    <x v="43"/>
    <x v="1"/>
    <x v="7"/>
    <n v="4182"/>
    <n v="640"/>
    <n v="240"/>
    <n v="50184"/>
    <n v="49351"/>
    <n v="10"/>
    <x v="0"/>
    <x v="0"/>
    <n v="1.0347105428461429"/>
  </r>
  <r>
    <s v="P185"/>
    <x v="3"/>
    <x v="67"/>
    <x v="2"/>
    <x v="9"/>
    <n v="4523"/>
    <n v="61"/>
    <n v="157"/>
    <n v="49753"/>
    <n v="49329"/>
    <n v="71"/>
    <x v="1"/>
    <x v="0"/>
    <n v="1.0130146566928175"/>
  </r>
  <r>
    <s v="P278"/>
    <x v="2"/>
    <x v="68"/>
    <x v="5"/>
    <x v="12"/>
    <n v="4516"/>
    <n v="836"/>
    <n v="169"/>
    <n v="49676"/>
    <n v="49257"/>
    <n v="282"/>
    <x v="1"/>
    <x v="0"/>
    <n v="1.0289095966055586"/>
  </r>
  <r>
    <s v="P257"/>
    <x v="1"/>
    <x v="69"/>
    <x v="0"/>
    <x v="2"/>
    <n v="3090"/>
    <n v="697"/>
    <n v="164"/>
    <n v="49440"/>
    <n v="48524"/>
    <n v="25"/>
    <x v="1"/>
    <x v="3"/>
    <n v="1.0366210534992992"/>
  </r>
  <r>
    <s v="P180"/>
    <x v="0"/>
    <x v="2"/>
    <x v="5"/>
    <x v="20"/>
    <n v="3711"/>
    <n v="352"/>
    <n v="290"/>
    <n v="48243"/>
    <n v="47579"/>
    <n v="11"/>
    <x v="0"/>
    <x v="0"/>
    <n v="1.027449084680216"/>
  </r>
  <r>
    <s v="P162"/>
    <x v="1"/>
    <x v="70"/>
    <x v="1"/>
    <x v="7"/>
    <n v="3430"/>
    <n v="566"/>
    <n v="164"/>
    <n v="48020"/>
    <n v="47305"/>
    <n v="120"/>
    <x v="2"/>
    <x v="0"/>
    <n v="1.0305464538632281"/>
  </r>
  <r>
    <s v="P157"/>
    <x v="0"/>
    <x v="71"/>
    <x v="1"/>
    <x v="1"/>
    <n v="4775"/>
    <n v="173"/>
    <n v="206"/>
    <n v="47750"/>
    <n v="47544"/>
    <n v="187"/>
    <x v="2"/>
    <x v="0"/>
    <n v="1.0123043917213528"/>
  </r>
  <r>
    <s v="P205"/>
    <x v="2"/>
    <x v="53"/>
    <x v="4"/>
    <x v="19"/>
    <n v="3820"/>
    <n v="697"/>
    <n v="268"/>
    <n v="45840"/>
    <n v="45631"/>
    <n v="171"/>
    <x v="0"/>
    <x v="5"/>
    <n v="1.0257281234248647"/>
  </r>
  <r>
    <s v="P213"/>
    <x v="1"/>
    <x v="72"/>
    <x v="2"/>
    <x v="6"/>
    <n v="2696"/>
    <n v="628"/>
    <n v="443"/>
    <n v="45832"/>
    <n v="45632"/>
    <n v="248"/>
    <x v="1"/>
    <x v="0"/>
    <n v="1.0278532608695652"/>
  </r>
  <r>
    <s v="P126"/>
    <x v="3"/>
    <x v="73"/>
    <x v="2"/>
    <x v="9"/>
    <n v="4158"/>
    <n v="167"/>
    <n v="241"/>
    <n v="45738"/>
    <n v="45183"/>
    <n v="142"/>
    <x v="2"/>
    <x v="0"/>
    <n v="1.0213133258083793"/>
  </r>
  <r>
    <s v="P057"/>
    <x v="2"/>
    <x v="36"/>
    <x v="4"/>
    <x v="19"/>
    <n v="2825"/>
    <n v="535"/>
    <n v="295"/>
    <n v="45200"/>
    <n v="44739"/>
    <n v="169"/>
    <x v="0"/>
    <x v="0"/>
    <n v="1.0288562551688683"/>
  </r>
  <r>
    <s v="P209"/>
    <x v="2"/>
    <x v="74"/>
    <x v="4"/>
    <x v="19"/>
    <n v="3160"/>
    <n v="204"/>
    <n v="297"/>
    <n v="44240"/>
    <n v="43666"/>
    <n v="49"/>
    <x v="2"/>
    <x v="4"/>
    <n v="1.0246186964686483"/>
  </r>
  <r>
    <s v="P208"/>
    <x v="0"/>
    <x v="39"/>
    <x v="4"/>
    <x v="11"/>
    <n v="2949"/>
    <n v="476"/>
    <n v="403"/>
    <n v="44235"/>
    <n v="43705"/>
    <n v="135"/>
    <x v="0"/>
    <x v="0"/>
    <n v="1.0322388742706785"/>
  </r>
  <r>
    <s v="P113"/>
    <x v="2"/>
    <x v="41"/>
    <x v="2"/>
    <x v="3"/>
    <n v="4419"/>
    <n v="236"/>
    <n v="369"/>
    <n v="44190"/>
    <n v="43582"/>
    <n v="10"/>
    <x v="1"/>
    <x v="0"/>
    <n v="1.0278325914368318"/>
  </r>
  <r>
    <s v="P289"/>
    <x v="1"/>
    <x v="14"/>
    <x v="2"/>
    <x v="6"/>
    <n v="2751"/>
    <n v="33"/>
    <n v="430"/>
    <n v="44016"/>
    <n v="43415"/>
    <n v="129"/>
    <x v="2"/>
    <x v="0"/>
    <n v="1.0245076586433259"/>
  </r>
  <r>
    <s v="P061"/>
    <x v="2"/>
    <x v="75"/>
    <x v="4"/>
    <x v="19"/>
    <n v="4886"/>
    <n v="983"/>
    <n v="409"/>
    <n v="43974"/>
    <n v="43239"/>
    <n v="65"/>
    <x v="0"/>
    <x v="0"/>
    <n v="1.0491917019357524"/>
  </r>
  <r>
    <s v="P156"/>
    <x v="1"/>
    <x v="6"/>
    <x v="2"/>
    <x v="6"/>
    <n v="3352"/>
    <n v="941"/>
    <n v="482"/>
    <n v="43576"/>
    <n v="43338"/>
    <n v="240"/>
    <x v="2"/>
    <x v="0"/>
    <n v="1.0383266417462735"/>
  </r>
  <r>
    <s v="P131"/>
    <x v="3"/>
    <x v="36"/>
    <x v="3"/>
    <x v="14"/>
    <n v="4840"/>
    <n v="658"/>
    <n v="211"/>
    <n v="43560"/>
    <n v="43225"/>
    <n v="57"/>
    <x v="2"/>
    <x v="0"/>
    <n v="1.0278542510121458"/>
  </r>
  <r>
    <s v="P168"/>
    <x v="1"/>
    <x v="46"/>
    <x v="5"/>
    <x v="10"/>
    <n v="2418"/>
    <n v="754"/>
    <n v="54"/>
    <n v="43524"/>
    <n v="42743"/>
    <n v="182"/>
    <x v="1"/>
    <x v="0"/>
    <n v="1.0371756778887771"/>
  </r>
  <r>
    <s v="P177"/>
    <x v="3"/>
    <x v="76"/>
    <x v="2"/>
    <x v="9"/>
    <n v="3099"/>
    <n v="694"/>
    <n v="171"/>
    <n v="43386"/>
    <n v="42921"/>
    <n v="52"/>
    <x v="0"/>
    <x v="0"/>
    <n v="1.0309871624612661"/>
  </r>
  <r>
    <s v="P008"/>
    <x v="0"/>
    <x v="77"/>
    <x v="0"/>
    <x v="0"/>
    <n v="3929"/>
    <n v="262"/>
    <n v="278"/>
    <n v="43219"/>
    <n v="42841"/>
    <n v="39"/>
    <x v="1"/>
    <x v="0"/>
    <n v="1.0214280712401671"/>
  </r>
  <r>
    <s v="P229"/>
    <x v="3"/>
    <x v="78"/>
    <x v="2"/>
    <x v="9"/>
    <n v="4799"/>
    <n v="694"/>
    <n v="289"/>
    <n v="43191"/>
    <n v="42228"/>
    <n v="118"/>
    <x v="0"/>
    <x v="0"/>
    <n v="1.0460831675665436"/>
  </r>
  <r>
    <s v="P064"/>
    <x v="1"/>
    <x v="79"/>
    <x v="0"/>
    <x v="2"/>
    <n v="2878"/>
    <n v="248"/>
    <n v="416"/>
    <n v="43170"/>
    <n v="42667"/>
    <n v="75"/>
    <x v="2"/>
    <x v="0"/>
    <n v="1.0273513488175874"/>
  </r>
  <r>
    <s v="P115"/>
    <x v="2"/>
    <x v="80"/>
    <x v="0"/>
    <x v="18"/>
    <n v="2493"/>
    <n v="97"/>
    <n v="44"/>
    <n v="42381"/>
    <n v="41991"/>
    <n v="242"/>
    <x v="0"/>
    <x v="4"/>
    <n v="1.0126455669071943"/>
  </r>
  <r>
    <s v="P026"/>
    <x v="0"/>
    <x v="81"/>
    <x v="3"/>
    <x v="16"/>
    <n v="3009"/>
    <n v="413"/>
    <n v="358"/>
    <n v="42126"/>
    <n v="41309"/>
    <n v="211"/>
    <x v="2"/>
    <x v="0"/>
    <n v="1.0384419860078917"/>
  </r>
  <r>
    <s v="P245"/>
    <x v="1"/>
    <x v="82"/>
    <x v="3"/>
    <x v="17"/>
    <n v="4134"/>
    <n v="824"/>
    <n v="99"/>
    <n v="41340"/>
    <n v="41050"/>
    <n v="177"/>
    <x v="1"/>
    <x v="0"/>
    <n v="1.0295493300852618"/>
  </r>
  <r>
    <s v="P188"/>
    <x v="0"/>
    <x v="83"/>
    <x v="3"/>
    <x v="16"/>
    <n v="2728"/>
    <n v="533"/>
    <n v="215"/>
    <n v="40920"/>
    <n v="40816"/>
    <n v="137"/>
    <x v="2"/>
    <x v="0"/>
    <n v="1.0208741669933359"/>
  </r>
  <r>
    <s v="P111"/>
    <x v="0"/>
    <x v="84"/>
    <x v="0"/>
    <x v="0"/>
    <n v="2719"/>
    <n v="17"/>
    <n v="285"/>
    <n v="40785"/>
    <n v="40281"/>
    <n v="40"/>
    <x v="0"/>
    <x v="0"/>
    <n v="1.0200094337280603"/>
  </r>
  <r>
    <s v="P256"/>
    <x v="0"/>
    <x v="85"/>
    <x v="2"/>
    <x v="5"/>
    <n v="2143"/>
    <n v="12"/>
    <n v="204"/>
    <n v="40717"/>
    <n v="40125"/>
    <n v="248"/>
    <x v="1"/>
    <x v="0"/>
    <n v="1.0201370716510902"/>
  </r>
  <r>
    <s v="P103"/>
    <x v="1"/>
    <x v="86"/>
    <x v="0"/>
    <x v="2"/>
    <n v="3689"/>
    <n v="48"/>
    <n v="306"/>
    <n v="40579"/>
    <n v="39588"/>
    <n v="212"/>
    <x v="1"/>
    <x v="0"/>
    <n v="1.0339749419015862"/>
  </r>
  <r>
    <s v="P273"/>
    <x v="0"/>
    <x v="87"/>
    <x v="1"/>
    <x v="1"/>
    <n v="3641"/>
    <n v="226"/>
    <n v="46"/>
    <n v="40051"/>
    <n v="39319"/>
    <n v="296"/>
    <x v="1"/>
    <x v="0"/>
    <n v="1.0255347287570895"/>
  </r>
  <r>
    <s v="P114"/>
    <x v="2"/>
    <x v="88"/>
    <x v="1"/>
    <x v="23"/>
    <n v="4000"/>
    <n v="689"/>
    <n v="488"/>
    <n v="40000"/>
    <n v="39569"/>
    <n v="44"/>
    <x v="2"/>
    <x v="0"/>
    <n v="1.0406378730824635"/>
  </r>
  <r>
    <s v="P080"/>
    <x v="3"/>
    <x v="89"/>
    <x v="1"/>
    <x v="15"/>
    <n v="2103"/>
    <n v="892"/>
    <n v="103"/>
    <n v="39957"/>
    <n v="39466"/>
    <n v="28"/>
    <x v="2"/>
    <x v="0"/>
    <n v="1.0376526630517406"/>
  </r>
  <r>
    <s v="P079"/>
    <x v="3"/>
    <x v="90"/>
    <x v="2"/>
    <x v="9"/>
    <n v="3068"/>
    <n v="137"/>
    <n v="329"/>
    <n v="39884"/>
    <n v="39404"/>
    <n v="266"/>
    <x v="1"/>
    <x v="0"/>
    <n v="1.0240077149527966"/>
  </r>
  <r>
    <s v="P272"/>
    <x v="3"/>
    <x v="91"/>
    <x v="5"/>
    <x v="21"/>
    <n v="4941"/>
    <n v="414"/>
    <n v="266"/>
    <n v="39528"/>
    <n v="39154"/>
    <n v="217"/>
    <x v="0"/>
    <x v="0"/>
    <n v="1.0269193441283138"/>
  </r>
  <r>
    <s v="P164"/>
    <x v="0"/>
    <x v="92"/>
    <x v="5"/>
    <x v="20"/>
    <n v="4934"/>
    <n v="971"/>
    <n v="156"/>
    <n v="39472"/>
    <n v="39025"/>
    <n v="169"/>
    <x v="0"/>
    <x v="4"/>
    <n v="1.0403331197950032"/>
  </r>
  <r>
    <s v="P142"/>
    <x v="0"/>
    <x v="62"/>
    <x v="1"/>
    <x v="1"/>
    <n v="2070"/>
    <n v="275"/>
    <n v="386"/>
    <n v="39330"/>
    <n v="38627"/>
    <n v="114"/>
    <x v="2"/>
    <x v="0"/>
    <n v="1.0353120874000052"/>
  </r>
  <r>
    <s v="P190"/>
    <x v="0"/>
    <x v="31"/>
    <x v="5"/>
    <x v="20"/>
    <n v="1963"/>
    <n v="213"/>
    <n v="19"/>
    <n v="39260"/>
    <n v="38771"/>
    <n v="145"/>
    <x v="2"/>
    <x v="0"/>
    <n v="1.0185963735781898"/>
  </r>
  <r>
    <s v="P110"/>
    <x v="3"/>
    <x v="93"/>
    <x v="3"/>
    <x v="14"/>
    <n v="3523"/>
    <n v="753"/>
    <n v="482"/>
    <n v="38753"/>
    <n v="38579"/>
    <n v="270"/>
    <x v="1"/>
    <x v="0"/>
    <n v="1.0365224604059202"/>
  </r>
  <r>
    <s v="P212"/>
    <x v="0"/>
    <x v="94"/>
    <x v="4"/>
    <x v="11"/>
    <n v="3874"/>
    <n v="884"/>
    <n v="19"/>
    <n v="38740"/>
    <n v="38552"/>
    <n v="219"/>
    <x v="0"/>
    <x v="0"/>
    <n v="1.0282994397177838"/>
  </r>
  <r>
    <s v="P130"/>
    <x v="0"/>
    <x v="95"/>
    <x v="3"/>
    <x v="16"/>
    <n v="2936"/>
    <n v="439"/>
    <n v="44"/>
    <n v="38168"/>
    <n v="37571"/>
    <n v="22"/>
    <x v="1"/>
    <x v="0"/>
    <n v="1.0287455750445822"/>
  </r>
  <r>
    <s v="P233"/>
    <x v="1"/>
    <x v="96"/>
    <x v="0"/>
    <x v="2"/>
    <n v="2382"/>
    <n v="265"/>
    <n v="134"/>
    <n v="38112"/>
    <n v="37437"/>
    <n v="249"/>
    <x v="2"/>
    <x v="0"/>
    <n v="1.0286881961695649"/>
  </r>
  <r>
    <s v="P092"/>
    <x v="2"/>
    <x v="36"/>
    <x v="1"/>
    <x v="23"/>
    <n v="3801"/>
    <n v="967"/>
    <n v="401"/>
    <n v="38010"/>
    <n v="37625"/>
    <n v="236"/>
    <x v="2"/>
    <x v="0"/>
    <n v="1.0465913621262459"/>
  </r>
  <r>
    <s v="P040"/>
    <x v="2"/>
    <x v="97"/>
    <x v="0"/>
    <x v="18"/>
    <n v="4750"/>
    <n v="151"/>
    <n v="415"/>
    <n v="38000"/>
    <n v="37792"/>
    <n v="299"/>
    <x v="1"/>
    <x v="0"/>
    <n v="1.0204805249788316"/>
  </r>
  <r>
    <s v="P255"/>
    <x v="1"/>
    <x v="34"/>
    <x v="1"/>
    <x v="7"/>
    <n v="3767"/>
    <n v="514"/>
    <n v="238"/>
    <n v="37670"/>
    <n v="36807"/>
    <n v="226"/>
    <x v="2"/>
    <x v="0"/>
    <n v="1.0438775232971989"/>
  </r>
  <r>
    <s v="P145"/>
    <x v="3"/>
    <x v="98"/>
    <x v="2"/>
    <x v="9"/>
    <n v="1878"/>
    <n v="62"/>
    <n v="179"/>
    <n v="37560"/>
    <n v="36874"/>
    <n v="142"/>
    <x v="0"/>
    <x v="0"/>
    <n v="1.0251396648044693"/>
  </r>
  <r>
    <s v="P051"/>
    <x v="1"/>
    <x v="89"/>
    <x v="2"/>
    <x v="6"/>
    <n v="2200"/>
    <n v="504"/>
    <n v="239"/>
    <n v="37400"/>
    <n v="36938"/>
    <n v="225"/>
    <x v="2"/>
    <x v="0"/>
    <n v="1.0326222318479614"/>
  </r>
  <r>
    <s v="P133"/>
    <x v="1"/>
    <x v="99"/>
    <x v="0"/>
    <x v="2"/>
    <n v="2072"/>
    <n v="532"/>
    <n v="71"/>
    <n v="37296"/>
    <n v="36467"/>
    <n v="25"/>
    <x v="0"/>
    <x v="0"/>
    <n v="1.0392683796308992"/>
  </r>
  <r>
    <s v="P048"/>
    <x v="2"/>
    <x v="19"/>
    <x v="1"/>
    <x v="23"/>
    <n v="1950"/>
    <n v="295"/>
    <n v="478"/>
    <n v="37050"/>
    <n v="36272"/>
    <n v="119"/>
    <x v="0"/>
    <x v="0"/>
    <n v="1.0427602558447286"/>
  </r>
  <r>
    <s v="P285"/>
    <x v="0"/>
    <x v="100"/>
    <x v="5"/>
    <x v="20"/>
    <n v="4021"/>
    <n v="794"/>
    <n v="77"/>
    <n v="36189"/>
    <n v="35505"/>
    <n v="174"/>
    <x v="1"/>
    <x v="0"/>
    <n v="1.0437966483593859"/>
  </r>
  <r>
    <s v="P018"/>
    <x v="3"/>
    <x v="101"/>
    <x v="3"/>
    <x v="14"/>
    <n v="3000"/>
    <n v="382"/>
    <n v="325"/>
    <n v="36000"/>
    <n v="35819"/>
    <n v="19"/>
    <x v="2"/>
    <x v="0"/>
    <n v="1.0247913118735867"/>
  </r>
  <r>
    <s v="P290"/>
    <x v="3"/>
    <x v="102"/>
    <x v="2"/>
    <x v="9"/>
    <n v="2107"/>
    <n v="550"/>
    <n v="349"/>
    <n v="35819"/>
    <n v="35340"/>
    <n v="191"/>
    <x v="1"/>
    <x v="0"/>
    <n v="1.0389926428975664"/>
  </r>
  <r>
    <s v="P247"/>
    <x v="1"/>
    <x v="103"/>
    <x v="3"/>
    <x v="17"/>
    <n v="3960"/>
    <n v="266"/>
    <n v="8"/>
    <n v="35640"/>
    <n v="34850"/>
    <n v="208"/>
    <x v="2"/>
    <x v="3"/>
    <n v="1.0305308464849354"/>
  </r>
  <r>
    <s v="P151"/>
    <x v="3"/>
    <x v="104"/>
    <x v="0"/>
    <x v="13"/>
    <n v="3559"/>
    <n v="59"/>
    <n v="289"/>
    <n v="35590"/>
    <n v="35105"/>
    <n v="122"/>
    <x v="1"/>
    <x v="0"/>
    <n v="1.0237288135593221"/>
  </r>
  <r>
    <s v="P044"/>
    <x v="2"/>
    <x v="105"/>
    <x v="0"/>
    <x v="18"/>
    <n v="2358"/>
    <n v="784"/>
    <n v="344"/>
    <n v="35370"/>
    <n v="34475"/>
    <n v="216"/>
    <x v="0"/>
    <x v="0"/>
    <n v="1.0586802030456852"/>
  </r>
  <r>
    <s v="P235"/>
    <x v="1"/>
    <x v="106"/>
    <x v="0"/>
    <x v="2"/>
    <n v="3196"/>
    <n v="941"/>
    <n v="376"/>
    <n v="35156"/>
    <n v="34444"/>
    <n v="241"/>
    <x v="0"/>
    <x v="0"/>
    <n v="1.0589072117059575"/>
  </r>
  <r>
    <s v="P199"/>
    <x v="0"/>
    <x v="107"/>
    <x v="2"/>
    <x v="5"/>
    <n v="2509"/>
    <n v="324"/>
    <n v="171"/>
    <n v="35126"/>
    <n v="34685"/>
    <n v="277"/>
    <x v="0"/>
    <x v="0"/>
    <n v="1.0269857287011677"/>
  </r>
  <r>
    <s v="P084"/>
    <x v="1"/>
    <x v="108"/>
    <x v="0"/>
    <x v="2"/>
    <n v="1841"/>
    <n v="851"/>
    <n v="342"/>
    <n v="34979"/>
    <n v="34154"/>
    <n v="255"/>
    <x v="2"/>
    <x v="0"/>
    <n v="1.0590853194354981"/>
  </r>
  <r>
    <s v="P125"/>
    <x v="2"/>
    <x v="109"/>
    <x v="2"/>
    <x v="3"/>
    <n v="3811"/>
    <n v="866"/>
    <n v="216"/>
    <n v="34299"/>
    <n v="34088"/>
    <n v="233"/>
    <x v="0"/>
    <x v="0"/>
    <n v="1.0379312367988736"/>
  </r>
  <r>
    <s v="P169"/>
    <x v="0"/>
    <x v="2"/>
    <x v="4"/>
    <x v="11"/>
    <n v="3809"/>
    <n v="273"/>
    <n v="200"/>
    <n v="34281"/>
    <n v="33534"/>
    <n v="83"/>
    <x v="1"/>
    <x v="0"/>
    <n v="1.0363809864615017"/>
  </r>
  <r>
    <s v="P207"/>
    <x v="2"/>
    <x v="110"/>
    <x v="2"/>
    <x v="3"/>
    <n v="4274"/>
    <n v="340"/>
    <n v="281"/>
    <n v="34192"/>
    <n v="33446"/>
    <n v="129"/>
    <x v="0"/>
    <x v="5"/>
    <n v="1.040871853136399"/>
  </r>
  <r>
    <s v="P149"/>
    <x v="2"/>
    <x v="111"/>
    <x v="4"/>
    <x v="19"/>
    <n v="1702"/>
    <n v="750"/>
    <n v="179"/>
    <n v="34040"/>
    <n v="33174"/>
    <n v="76"/>
    <x v="1"/>
    <x v="0"/>
    <n v="1.0541086392958341"/>
  </r>
  <r>
    <s v="P035"/>
    <x v="3"/>
    <x v="107"/>
    <x v="4"/>
    <x v="22"/>
    <n v="3775"/>
    <n v="16"/>
    <n v="239"/>
    <n v="33975"/>
    <n v="33310"/>
    <n v="271"/>
    <x v="2"/>
    <x v="0"/>
    <n v="1.0276193335334733"/>
  </r>
  <r>
    <s v="P014"/>
    <x v="1"/>
    <x v="112"/>
    <x v="1"/>
    <x v="7"/>
    <n v="4242"/>
    <n v="555"/>
    <n v="131"/>
    <n v="33936"/>
    <n v="33802"/>
    <n v="265"/>
    <x v="2"/>
    <x v="0"/>
    <n v="1.0242589195905567"/>
  </r>
  <r>
    <s v="P027"/>
    <x v="0"/>
    <x v="113"/>
    <x v="5"/>
    <x v="20"/>
    <n v="2076"/>
    <n v="195"/>
    <n v="104"/>
    <n v="33216"/>
    <n v="32244"/>
    <n v="51"/>
    <x v="2"/>
    <x v="0"/>
    <n v="1.0394181863292395"/>
  </r>
  <r>
    <s v="P139"/>
    <x v="0"/>
    <x v="114"/>
    <x v="5"/>
    <x v="20"/>
    <n v="2746"/>
    <n v="156"/>
    <n v="203"/>
    <n v="32952"/>
    <n v="32147"/>
    <n v="147"/>
    <x v="1"/>
    <x v="0"/>
    <n v="1.0362086664385479"/>
  </r>
  <r>
    <s v="P104"/>
    <x v="0"/>
    <x v="115"/>
    <x v="1"/>
    <x v="1"/>
    <n v="3655"/>
    <n v="568"/>
    <n v="286"/>
    <n v="32895"/>
    <n v="32015"/>
    <n v="199"/>
    <x v="0"/>
    <x v="0"/>
    <n v="1.0541621115102295"/>
  </r>
  <r>
    <s v="P184"/>
    <x v="2"/>
    <x v="116"/>
    <x v="0"/>
    <x v="18"/>
    <n v="3215"/>
    <n v="960"/>
    <n v="202"/>
    <n v="32150"/>
    <n v="31404"/>
    <n v="251"/>
    <x v="1"/>
    <x v="0"/>
    <n v="1.0607565915170043"/>
  </r>
  <r>
    <s v="P023"/>
    <x v="1"/>
    <x v="23"/>
    <x v="4"/>
    <x v="8"/>
    <n v="1606"/>
    <n v="547"/>
    <n v="316"/>
    <n v="32120"/>
    <n v="31736"/>
    <n v="225"/>
    <x v="0"/>
    <x v="4"/>
    <n v="1.0392929165616336"/>
  </r>
  <r>
    <s v="P221"/>
    <x v="1"/>
    <x v="115"/>
    <x v="4"/>
    <x v="8"/>
    <n v="4453"/>
    <n v="111"/>
    <n v="420"/>
    <n v="31171"/>
    <n v="30565"/>
    <n v="23"/>
    <x v="0"/>
    <x v="0"/>
    <n v="1.0371994110911174"/>
  </r>
  <r>
    <s v="P174"/>
    <x v="1"/>
    <x v="26"/>
    <x v="5"/>
    <x v="10"/>
    <n v="3828"/>
    <n v="148"/>
    <n v="253"/>
    <n v="30624"/>
    <n v="30229"/>
    <n v="235"/>
    <x v="1"/>
    <x v="0"/>
    <n v="1.0263323298819016"/>
  </r>
  <r>
    <s v="P071"/>
    <x v="0"/>
    <x v="0"/>
    <x v="2"/>
    <x v="5"/>
    <n v="2551"/>
    <n v="915"/>
    <n v="205"/>
    <n v="30612"/>
    <n v="30360"/>
    <n v="227"/>
    <x v="0"/>
    <x v="0"/>
    <n v="1.0451910408432148"/>
  </r>
  <r>
    <s v="P059"/>
    <x v="3"/>
    <x v="26"/>
    <x v="5"/>
    <x v="21"/>
    <n v="2180"/>
    <n v="263"/>
    <n v="387"/>
    <n v="30520"/>
    <n v="30059"/>
    <n v="174"/>
    <x v="1"/>
    <x v="0"/>
    <n v="1.036960644066669"/>
  </r>
  <r>
    <s v="P241"/>
    <x v="1"/>
    <x v="117"/>
    <x v="1"/>
    <x v="7"/>
    <n v="4321"/>
    <n v="874"/>
    <n v="172"/>
    <n v="30247"/>
    <n v="29254"/>
    <n v="122"/>
    <x v="0"/>
    <x v="0"/>
    <n v="1.0696998701032336"/>
  </r>
  <r>
    <s v="P216"/>
    <x v="0"/>
    <x v="93"/>
    <x v="1"/>
    <x v="1"/>
    <n v="1509"/>
    <n v="88"/>
    <n v="163"/>
    <n v="30180"/>
    <n v="29689"/>
    <n v="119"/>
    <x v="1"/>
    <x v="0"/>
    <n v="1.0249924214355486"/>
  </r>
  <r>
    <s v="P202"/>
    <x v="1"/>
    <x v="118"/>
    <x v="0"/>
    <x v="2"/>
    <n v="1871"/>
    <n v="252"/>
    <n v="335"/>
    <n v="29936"/>
    <n v="29576"/>
    <n v="288"/>
    <x v="1"/>
    <x v="0"/>
    <n v="1.0320192047606167"/>
  </r>
  <r>
    <s v="P034"/>
    <x v="1"/>
    <x v="119"/>
    <x v="5"/>
    <x v="10"/>
    <n v="1652"/>
    <n v="89"/>
    <n v="357"/>
    <n v="29736"/>
    <n v="28771"/>
    <n v="215"/>
    <x v="0"/>
    <x v="0"/>
    <n v="1.0490424385666122"/>
  </r>
  <r>
    <s v="P056"/>
    <x v="1"/>
    <x v="120"/>
    <x v="2"/>
    <x v="6"/>
    <n v="2946"/>
    <n v="498"/>
    <n v="367"/>
    <n v="29460"/>
    <n v="28527"/>
    <n v="60"/>
    <x v="2"/>
    <x v="0"/>
    <n v="1.0630280085533004"/>
  </r>
  <r>
    <s v="P293"/>
    <x v="1"/>
    <x v="121"/>
    <x v="5"/>
    <x v="10"/>
    <n v="2634"/>
    <n v="726"/>
    <n v="241"/>
    <n v="28974"/>
    <n v="28102"/>
    <n v="277"/>
    <x v="1"/>
    <x v="0"/>
    <n v="1.0654401821934383"/>
  </r>
  <r>
    <s v="P152"/>
    <x v="1"/>
    <x v="122"/>
    <x v="0"/>
    <x v="2"/>
    <n v="4804"/>
    <n v="550"/>
    <n v="270"/>
    <n v="28824"/>
    <n v="28370"/>
    <n v="47"/>
    <x v="1"/>
    <x v="0"/>
    <n v="1.0449065914698625"/>
  </r>
  <r>
    <s v="P242"/>
    <x v="1"/>
    <x v="123"/>
    <x v="3"/>
    <x v="17"/>
    <n v="4767"/>
    <n v="190"/>
    <n v="340"/>
    <n v="28602"/>
    <n v="28044"/>
    <n v="210"/>
    <x v="1"/>
    <x v="0"/>
    <n v="1.0387961774354586"/>
  </r>
  <r>
    <s v="P294"/>
    <x v="1"/>
    <x v="124"/>
    <x v="2"/>
    <x v="6"/>
    <n v="4731"/>
    <n v="173"/>
    <n v="276"/>
    <n v="28386"/>
    <n v="28185"/>
    <n v="89"/>
    <x v="1"/>
    <x v="0"/>
    <n v="1.0230619123647331"/>
  </r>
  <r>
    <s v="P038"/>
    <x v="0"/>
    <x v="125"/>
    <x v="3"/>
    <x v="16"/>
    <n v="3138"/>
    <n v="123"/>
    <n v="291"/>
    <n v="28242"/>
    <n v="27550"/>
    <n v="87"/>
    <x v="0"/>
    <x v="0"/>
    <n v="1.0401451905626133"/>
  </r>
  <r>
    <s v="P049"/>
    <x v="2"/>
    <x v="126"/>
    <x v="1"/>
    <x v="23"/>
    <n v="2164"/>
    <n v="549"/>
    <n v="274"/>
    <n v="28132"/>
    <n v="27361"/>
    <n v="177"/>
    <x v="0"/>
    <x v="0"/>
    <n v="1.0582581046014401"/>
  </r>
  <r>
    <s v="P187"/>
    <x v="2"/>
    <x v="106"/>
    <x v="3"/>
    <x v="4"/>
    <n v="1644"/>
    <n v="546"/>
    <n v="150"/>
    <n v="27948"/>
    <n v="27184"/>
    <n v="300"/>
    <x v="1"/>
    <x v="0"/>
    <n v="1.0537080635668039"/>
  </r>
  <r>
    <s v="P128"/>
    <x v="2"/>
    <x v="127"/>
    <x v="0"/>
    <x v="18"/>
    <n v="3092"/>
    <n v="106"/>
    <n v="291"/>
    <n v="27828"/>
    <n v="27217"/>
    <n v="102"/>
    <x v="2"/>
    <x v="0"/>
    <n v="1.037035676231767"/>
  </r>
  <r>
    <s v="P147"/>
    <x v="3"/>
    <x v="36"/>
    <x v="3"/>
    <x v="14"/>
    <n v="3256"/>
    <n v="459"/>
    <n v="266"/>
    <n v="26048"/>
    <n v="25529"/>
    <n v="143"/>
    <x v="0"/>
    <x v="0"/>
    <n v="1.0487288965490227"/>
  </r>
  <r>
    <s v="P116"/>
    <x v="0"/>
    <x v="128"/>
    <x v="3"/>
    <x v="16"/>
    <n v="3704"/>
    <n v="186"/>
    <n v="458"/>
    <n v="25928"/>
    <n v="25081"/>
    <n v="131"/>
    <x v="0"/>
    <x v="0"/>
    <n v="1.059447390454926"/>
  </r>
  <r>
    <s v="P069"/>
    <x v="2"/>
    <x v="96"/>
    <x v="5"/>
    <x v="12"/>
    <n v="1292"/>
    <n v="626"/>
    <n v="496"/>
    <n v="25840"/>
    <n v="24916"/>
    <n v="149"/>
    <x v="2"/>
    <x v="0"/>
    <n v="1.0821159094557713"/>
  </r>
  <r>
    <s v="P109"/>
    <x v="2"/>
    <x v="129"/>
    <x v="1"/>
    <x v="23"/>
    <n v="3649"/>
    <n v="215"/>
    <n v="413"/>
    <n v="25543"/>
    <n v="24963"/>
    <n v="167"/>
    <x v="2"/>
    <x v="0"/>
    <n v="1.0483916195970036"/>
  </r>
  <r>
    <s v="P222"/>
    <x v="1"/>
    <x v="130"/>
    <x v="3"/>
    <x v="17"/>
    <n v="1814"/>
    <n v="653"/>
    <n v="363"/>
    <n v="25396"/>
    <n v="25286"/>
    <n v="39"/>
    <x v="2"/>
    <x v="5"/>
    <n v="1.0445305702760421"/>
  </r>
  <r>
    <s v="P091"/>
    <x v="1"/>
    <x v="44"/>
    <x v="0"/>
    <x v="2"/>
    <n v="1263"/>
    <n v="397"/>
    <n v="357"/>
    <n v="25260"/>
    <n v="24615"/>
    <n v="137"/>
    <x v="1"/>
    <x v="0"/>
    <n v="1.0568352630509852"/>
  </r>
  <r>
    <s v="P098"/>
    <x v="2"/>
    <x v="126"/>
    <x v="1"/>
    <x v="23"/>
    <n v="1575"/>
    <n v="771"/>
    <n v="486"/>
    <n v="25200"/>
    <n v="24826"/>
    <n v="17"/>
    <x v="2"/>
    <x v="0"/>
    <n v="1.065697252880045"/>
  </r>
  <r>
    <s v="P022"/>
    <x v="1"/>
    <x v="92"/>
    <x v="5"/>
    <x v="10"/>
    <n v="1570"/>
    <n v="187"/>
    <n v="260"/>
    <n v="25120"/>
    <n v="24613"/>
    <n v="133"/>
    <x v="0"/>
    <x v="0"/>
    <n v="1.0387600048754724"/>
  </r>
  <r>
    <s v="P011"/>
    <x v="3"/>
    <x v="131"/>
    <x v="1"/>
    <x v="15"/>
    <n v="1792"/>
    <n v="614"/>
    <n v="497"/>
    <n v="25088"/>
    <n v="24675"/>
    <n v="65"/>
    <x v="2"/>
    <x v="0"/>
    <n v="1.0617629179331307"/>
  </r>
  <r>
    <s v="P085"/>
    <x v="3"/>
    <x v="29"/>
    <x v="0"/>
    <x v="13"/>
    <n v="4177"/>
    <n v="569"/>
    <n v="55"/>
    <n v="25062"/>
    <n v="24847"/>
    <n v="230"/>
    <x v="2"/>
    <x v="0"/>
    <n v="1.0337666519096873"/>
  </r>
  <r>
    <s v="P148"/>
    <x v="3"/>
    <x v="132"/>
    <x v="4"/>
    <x v="22"/>
    <n v="4133"/>
    <n v="466"/>
    <n v="327"/>
    <n v="24798"/>
    <n v="24620"/>
    <n v="176"/>
    <x v="1"/>
    <x v="0"/>
    <n v="1.0394394800974818"/>
  </r>
  <r>
    <s v="P100"/>
    <x v="0"/>
    <x v="133"/>
    <x v="4"/>
    <x v="11"/>
    <n v="1766"/>
    <n v="92"/>
    <n v="424"/>
    <n v="24724"/>
    <n v="24333"/>
    <n v="52"/>
    <x v="1"/>
    <x v="0"/>
    <n v="1.0372744832120988"/>
  </r>
  <r>
    <s v="P037"/>
    <x v="1"/>
    <x v="134"/>
    <x v="2"/>
    <x v="6"/>
    <n v="3024"/>
    <n v="925"/>
    <n v="350"/>
    <n v="24192"/>
    <n v="23518"/>
    <n v="36"/>
    <x v="1"/>
    <x v="0"/>
    <n v="1.0828726932562294"/>
  </r>
  <r>
    <s v="P234"/>
    <x v="1"/>
    <x v="135"/>
    <x v="5"/>
    <x v="10"/>
    <n v="1272"/>
    <n v="465"/>
    <n v="99"/>
    <n v="24168"/>
    <n v="23719"/>
    <n v="42"/>
    <x v="0"/>
    <x v="0"/>
    <n v="1.0427083772503056"/>
  </r>
  <r>
    <s v="P006"/>
    <x v="1"/>
    <x v="136"/>
    <x v="2"/>
    <x v="6"/>
    <n v="2945"/>
    <n v="930"/>
    <n v="355"/>
    <n v="23560"/>
    <n v="23275"/>
    <n v="256"/>
    <x v="0"/>
    <x v="0"/>
    <n v="1.0674543501611171"/>
  </r>
  <r>
    <s v="P012"/>
    <x v="1"/>
    <x v="137"/>
    <x v="3"/>
    <x v="17"/>
    <n v="1946"/>
    <n v="686"/>
    <n v="377"/>
    <n v="23352"/>
    <n v="22982"/>
    <n v="213"/>
    <x v="2"/>
    <x v="0"/>
    <n v="1.0623531459403011"/>
  </r>
  <r>
    <s v="P244"/>
    <x v="0"/>
    <x v="138"/>
    <x v="4"/>
    <x v="11"/>
    <n v="4661"/>
    <n v="935"/>
    <n v="433"/>
    <n v="23305"/>
    <n v="22583"/>
    <n v="63"/>
    <x v="2"/>
    <x v="0"/>
    <n v="1.092547491475889"/>
  </r>
  <r>
    <s v="P299"/>
    <x v="1"/>
    <x v="56"/>
    <x v="0"/>
    <x v="2"/>
    <n v="2581"/>
    <n v="517"/>
    <n v="117"/>
    <n v="23229"/>
    <n v="22331"/>
    <n v="70"/>
    <x v="2"/>
    <x v="0"/>
    <n v="1.0686041825265327"/>
  </r>
  <r>
    <s v="P158"/>
    <x v="3"/>
    <x v="139"/>
    <x v="1"/>
    <x v="15"/>
    <n v="1762"/>
    <n v="405"/>
    <n v="423"/>
    <n v="22906"/>
    <n v="21925"/>
    <n v="25"/>
    <x v="0"/>
    <x v="0"/>
    <n v="1.0825085518814139"/>
  </r>
  <r>
    <s v="P155"/>
    <x v="0"/>
    <x v="140"/>
    <x v="0"/>
    <x v="0"/>
    <n v="2283"/>
    <n v="210"/>
    <n v="130"/>
    <n v="22830"/>
    <n v="22617"/>
    <n v="143"/>
    <x v="2"/>
    <x v="0"/>
    <n v="1.0244506344784896"/>
  </r>
  <r>
    <s v="P269"/>
    <x v="3"/>
    <x v="141"/>
    <x v="4"/>
    <x v="22"/>
    <n v="4561"/>
    <n v="51"/>
    <n v="441"/>
    <n v="22805"/>
    <n v="21890"/>
    <n v="45"/>
    <x v="0"/>
    <x v="0"/>
    <n v="1.0642759250799452"/>
  </r>
  <r>
    <s v="P165"/>
    <x v="2"/>
    <x v="142"/>
    <x v="5"/>
    <x v="12"/>
    <n v="3239"/>
    <n v="43"/>
    <n v="211"/>
    <n v="22673"/>
    <n v="22171"/>
    <n v="230"/>
    <x v="0"/>
    <x v="0"/>
    <n v="1.0340985972666998"/>
  </r>
  <r>
    <s v="P163"/>
    <x v="3"/>
    <x v="143"/>
    <x v="0"/>
    <x v="13"/>
    <n v="4501"/>
    <n v="375"/>
    <n v="323"/>
    <n v="22505"/>
    <n v="21836"/>
    <n v="132"/>
    <x v="0"/>
    <x v="0"/>
    <n v="1.0626030408499725"/>
  </r>
  <r>
    <s v="P013"/>
    <x v="0"/>
    <x v="144"/>
    <x v="2"/>
    <x v="5"/>
    <n v="1171"/>
    <n v="286"/>
    <n v="231"/>
    <n v="22249"/>
    <n v="21282"/>
    <n v="114"/>
    <x v="1"/>
    <x v="0"/>
    <n v="1.0697302885067193"/>
  </r>
  <r>
    <s v="P050"/>
    <x v="0"/>
    <x v="78"/>
    <x v="1"/>
    <x v="1"/>
    <n v="2754"/>
    <n v="130"/>
    <n v="90"/>
    <n v="22032"/>
    <n v="21288"/>
    <n v="112"/>
    <x v="0"/>
    <x v="0"/>
    <n v="1.0452837279218339"/>
  </r>
  <r>
    <s v="P251"/>
    <x v="3"/>
    <x v="91"/>
    <x v="2"/>
    <x v="9"/>
    <n v="1377"/>
    <n v="796"/>
    <n v="387"/>
    <n v="22032"/>
    <n v="21869"/>
    <n v="189"/>
    <x v="2"/>
    <x v="0"/>
    <n v="1.061548310393708"/>
  </r>
  <r>
    <s v="P136"/>
    <x v="3"/>
    <x v="145"/>
    <x v="5"/>
    <x v="21"/>
    <n v="3134"/>
    <n v="888"/>
    <n v="444"/>
    <n v="21938"/>
    <n v="21337"/>
    <n v="130"/>
    <x v="1"/>
    <x v="0"/>
    <n v="1.0905938041899048"/>
  </r>
  <r>
    <s v="P001"/>
    <x v="2"/>
    <x v="146"/>
    <x v="3"/>
    <x v="4"/>
    <n v="1461"/>
    <n v="184"/>
    <n v="344"/>
    <n v="21915"/>
    <n v="21675"/>
    <n v="15"/>
    <x v="2"/>
    <x v="4"/>
    <n v="1.0354325259515571"/>
  </r>
  <r>
    <s v="P123"/>
    <x v="3"/>
    <x v="147"/>
    <x v="1"/>
    <x v="15"/>
    <n v="4363"/>
    <n v="649"/>
    <n v="140"/>
    <n v="21815"/>
    <n v="21481"/>
    <n v="157"/>
    <x v="1"/>
    <x v="0"/>
    <n v="1.0522787579721615"/>
  </r>
  <r>
    <s v="P075"/>
    <x v="3"/>
    <x v="148"/>
    <x v="3"/>
    <x v="14"/>
    <n v="1674"/>
    <n v="929"/>
    <n v="37"/>
    <n v="21762"/>
    <n v="20998"/>
    <n v="255"/>
    <x v="0"/>
    <x v="0"/>
    <n v="1.0823887989332317"/>
  </r>
  <r>
    <s v="P047"/>
    <x v="2"/>
    <x v="149"/>
    <x v="2"/>
    <x v="3"/>
    <n v="2704"/>
    <n v="752"/>
    <n v="153"/>
    <n v="21632"/>
    <n v="20792"/>
    <n v="127"/>
    <x v="2"/>
    <x v="0"/>
    <n v="1.0839265101962292"/>
  </r>
  <r>
    <s v="P258"/>
    <x v="3"/>
    <x v="150"/>
    <x v="1"/>
    <x v="15"/>
    <n v="3601"/>
    <n v="695"/>
    <n v="75"/>
    <n v="21606"/>
    <n v="21454"/>
    <n v="172"/>
    <x v="1"/>
    <x v="0"/>
    <n v="1.0429756688729375"/>
  </r>
  <r>
    <s v="P254"/>
    <x v="2"/>
    <x v="151"/>
    <x v="0"/>
    <x v="18"/>
    <n v="2692"/>
    <n v="115"/>
    <n v="64"/>
    <n v="21536"/>
    <n v="21120"/>
    <n v="224"/>
    <x v="2"/>
    <x v="0"/>
    <n v="1.0281723484848484"/>
  </r>
  <r>
    <s v="P231"/>
    <x v="3"/>
    <x v="72"/>
    <x v="5"/>
    <x v="21"/>
    <n v="1430"/>
    <n v="376"/>
    <n v="33"/>
    <n v="21450"/>
    <n v="20509"/>
    <n v="251"/>
    <x v="2"/>
    <x v="0"/>
    <n v="1.0658247598615243"/>
  </r>
  <r>
    <s v="P271"/>
    <x v="3"/>
    <x v="152"/>
    <x v="4"/>
    <x v="22"/>
    <n v="3575"/>
    <n v="749"/>
    <n v="111"/>
    <n v="21450"/>
    <n v="20785"/>
    <n v="195"/>
    <x v="1"/>
    <x v="0"/>
    <n v="1.0733702189078662"/>
  </r>
  <r>
    <s v="P132"/>
    <x v="3"/>
    <x v="153"/>
    <x v="1"/>
    <x v="15"/>
    <n v="1947"/>
    <n v="842"/>
    <n v="101"/>
    <n v="21417"/>
    <n v="20967"/>
    <n v="186"/>
    <x v="2"/>
    <x v="0"/>
    <n v="1.0664377354891019"/>
  </r>
  <r>
    <s v="P277"/>
    <x v="1"/>
    <x v="69"/>
    <x v="0"/>
    <x v="2"/>
    <n v="4236"/>
    <n v="711"/>
    <n v="298"/>
    <n v="21180"/>
    <n v="20516"/>
    <n v="238"/>
    <x v="2"/>
    <x v="0"/>
    <n v="1.0815461103528954"/>
  </r>
  <r>
    <s v="P239"/>
    <x v="0"/>
    <x v="149"/>
    <x v="5"/>
    <x v="20"/>
    <n v="4188"/>
    <n v="942"/>
    <n v="118"/>
    <n v="20940"/>
    <n v="20471"/>
    <n v="102"/>
    <x v="2"/>
    <x v="0"/>
    <n v="1.0746910263299301"/>
  </r>
  <r>
    <s v="P117"/>
    <x v="2"/>
    <x v="27"/>
    <x v="0"/>
    <x v="18"/>
    <n v="1606"/>
    <n v="451"/>
    <n v="405"/>
    <n v="20878"/>
    <n v="20190"/>
    <n v="219"/>
    <x v="1"/>
    <x v="0"/>
    <n v="1.0764735017335314"/>
  </r>
  <r>
    <s v="P065"/>
    <x v="3"/>
    <x v="73"/>
    <x v="1"/>
    <x v="15"/>
    <n v="1881"/>
    <n v="501"/>
    <n v="99"/>
    <n v="20691"/>
    <n v="19987"/>
    <n v="289"/>
    <x v="1"/>
    <x v="0"/>
    <n v="1.0652424075649172"/>
  </r>
  <r>
    <s v="P286"/>
    <x v="0"/>
    <x v="154"/>
    <x v="4"/>
    <x v="11"/>
    <n v="3389"/>
    <n v="344"/>
    <n v="229"/>
    <n v="20334"/>
    <n v="19443"/>
    <n v="228"/>
    <x v="2"/>
    <x v="0"/>
    <n v="1.0752970220644962"/>
  </r>
  <r>
    <s v="P081"/>
    <x v="3"/>
    <x v="155"/>
    <x v="1"/>
    <x v="15"/>
    <n v="1816"/>
    <n v="29"/>
    <n v="41"/>
    <n v="19976"/>
    <n v="19262"/>
    <n v="283"/>
    <x v="0"/>
    <x v="0"/>
    <n v="1.0407019001142146"/>
  </r>
  <r>
    <s v="P196"/>
    <x v="3"/>
    <x v="156"/>
    <x v="5"/>
    <x v="21"/>
    <n v="1813"/>
    <n v="623"/>
    <n v="72"/>
    <n v="19943"/>
    <n v="18959"/>
    <n v="85"/>
    <x v="1"/>
    <x v="0"/>
    <n v="1.0885595231816023"/>
  </r>
  <r>
    <s v="P096"/>
    <x v="2"/>
    <x v="157"/>
    <x v="0"/>
    <x v="18"/>
    <n v="1238"/>
    <n v="366"/>
    <n v="444"/>
    <n v="19808"/>
    <n v="19334"/>
    <n v="123"/>
    <x v="2"/>
    <x v="0"/>
    <n v="1.0664115030516188"/>
  </r>
  <r>
    <s v="P160"/>
    <x v="2"/>
    <x v="54"/>
    <x v="4"/>
    <x v="19"/>
    <n v="1082"/>
    <n v="209"/>
    <n v="484"/>
    <n v="19476"/>
    <n v="18654"/>
    <n v="20"/>
    <x v="0"/>
    <x v="0"/>
    <n v="1.0812158250241235"/>
  </r>
  <r>
    <s v="P282"/>
    <x v="3"/>
    <x v="158"/>
    <x v="4"/>
    <x v="22"/>
    <n v="1488"/>
    <n v="417"/>
    <n v="168"/>
    <n v="19344"/>
    <n v="18395"/>
    <n v="30"/>
    <x v="2"/>
    <x v="0"/>
    <n v="1.0833922261484099"/>
  </r>
  <r>
    <s v="P004"/>
    <x v="3"/>
    <x v="98"/>
    <x v="1"/>
    <x v="15"/>
    <n v="2404"/>
    <n v="363"/>
    <n v="138"/>
    <n v="19232"/>
    <n v="18636"/>
    <n v="128"/>
    <x v="1"/>
    <x v="0"/>
    <n v="1.0588645632109894"/>
  </r>
  <r>
    <s v="P078"/>
    <x v="2"/>
    <x v="159"/>
    <x v="0"/>
    <x v="18"/>
    <n v="954"/>
    <n v="324"/>
    <n v="288"/>
    <n v="19080"/>
    <n v="18859"/>
    <n v="21"/>
    <x v="2"/>
    <x v="0"/>
    <n v="1.0441698923590859"/>
  </r>
  <r>
    <s v="P141"/>
    <x v="2"/>
    <x v="38"/>
    <x v="0"/>
    <x v="18"/>
    <n v="3170"/>
    <n v="857"/>
    <n v="379"/>
    <n v="19020"/>
    <n v="18559"/>
    <n v="240"/>
    <x v="2"/>
    <x v="0"/>
    <n v="1.0914381162778166"/>
  </r>
  <r>
    <s v="P054"/>
    <x v="0"/>
    <x v="160"/>
    <x v="2"/>
    <x v="5"/>
    <n v="1686"/>
    <n v="904"/>
    <n v="472"/>
    <n v="18546"/>
    <n v="18171"/>
    <n v="52"/>
    <x v="2"/>
    <x v="0"/>
    <n v="1.0963623355896759"/>
  </r>
  <r>
    <s v="P094"/>
    <x v="3"/>
    <x v="161"/>
    <x v="0"/>
    <x v="13"/>
    <n v="2647"/>
    <n v="304"/>
    <n v="170"/>
    <n v="18529"/>
    <n v="17841"/>
    <n v="46"/>
    <x v="2"/>
    <x v="0"/>
    <n v="1.0651308783139959"/>
  </r>
  <r>
    <s v="P146"/>
    <x v="0"/>
    <x v="162"/>
    <x v="3"/>
    <x v="16"/>
    <n v="3065"/>
    <n v="772"/>
    <n v="142"/>
    <n v="18390"/>
    <n v="17875"/>
    <n v="200"/>
    <x v="1"/>
    <x v="4"/>
    <n v="1.0799440559440558"/>
  </r>
  <r>
    <s v="P140"/>
    <x v="1"/>
    <x v="35"/>
    <x v="0"/>
    <x v="2"/>
    <n v="2291"/>
    <n v="78"/>
    <n v="485"/>
    <n v="18328"/>
    <n v="18101"/>
    <n v="10"/>
    <x v="1"/>
    <x v="5"/>
    <n v="1.0436439975691951"/>
  </r>
  <r>
    <s v="P171"/>
    <x v="0"/>
    <x v="163"/>
    <x v="4"/>
    <x v="11"/>
    <n v="1018"/>
    <n v="447"/>
    <n v="332"/>
    <n v="18324"/>
    <n v="18164"/>
    <n v="38"/>
    <x v="2"/>
    <x v="0"/>
    <n v="1.0516956617485136"/>
  </r>
  <r>
    <s v="P112"/>
    <x v="2"/>
    <x v="164"/>
    <x v="1"/>
    <x v="23"/>
    <n v="1957"/>
    <n v="877"/>
    <n v="238"/>
    <n v="17613"/>
    <n v="16865"/>
    <n v="297"/>
    <x v="2"/>
    <x v="0"/>
    <n v="1.1104654610139342"/>
  </r>
  <r>
    <s v="P275"/>
    <x v="1"/>
    <x v="150"/>
    <x v="3"/>
    <x v="17"/>
    <n v="1741"/>
    <n v="831"/>
    <n v="345"/>
    <n v="17410"/>
    <n v="16844"/>
    <n v="58"/>
    <x v="1"/>
    <x v="0"/>
    <n v="1.1034196152932796"/>
  </r>
  <r>
    <s v="P129"/>
    <x v="2"/>
    <x v="137"/>
    <x v="5"/>
    <x v="12"/>
    <n v="2147"/>
    <n v="430"/>
    <n v="393"/>
    <n v="17176"/>
    <n v="16483"/>
    <n v="170"/>
    <x v="0"/>
    <x v="0"/>
    <n v="1.0919735485045199"/>
  </r>
  <r>
    <s v="P033"/>
    <x v="1"/>
    <x v="165"/>
    <x v="0"/>
    <x v="2"/>
    <n v="1407"/>
    <n v="400"/>
    <n v="351"/>
    <n v="16884"/>
    <n v="15954"/>
    <n v="113"/>
    <x v="0"/>
    <x v="0"/>
    <n v="1.1053654255985961"/>
  </r>
  <r>
    <s v="P240"/>
    <x v="2"/>
    <x v="56"/>
    <x v="2"/>
    <x v="3"/>
    <n v="929"/>
    <n v="192"/>
    <n v="322"/>
    <n v="16722"/>
    <n v="15996"/>
    <n v="145"/>
    <x v="1"/>
    <x v="1"/>
    <n v="1.0775193798449612"/>
  </r>
  <r>
    <s v="P252"/>
    <x v="1"/>
    <x v="28"/>
    <x v="2"/>
    <x v="6"/>
    <n v="2089"/>
    <n v="476"/>
    <n v="69"/>
    <n v="16712"/>
    <n v="16309"/>
    <n v="64"/>
    <x v="2"/>
    <x v="0"/>
    <n v="1.0581274143111166"/>
  </r>
  <r>
    <s v="P074"/>
    <x v="0"/>
    <x v="1"/>
    <x v="3"/>
    <x v="16"/>
    <n v="1855"/>
    <n v="200"/>
    <n v="174"/>
    <n v="16695"/>
    <n v="16330"/>
    <n v="123"/>
    <x v="0"/>
    <x v="0"/>
    <n v="1.0452541334966319"/>
  </r>
  <r>
    <s v="P019"/>
    <x v="3"/>
    <x v="166"/>
    <x v="4"/>
    <x v="22"/>
    <n v="1071"/>
    <n v="519"/>
    <n v="22"/>
    <n v="16065"/>
    <n v="15865"/>
    <n v="103"/>
    <x v="0"/>
    <x v="0"/>
    <n v="1.0467065868263472"/>
  </r>
  <r>
    <s v="P173"/>
    <x v="2"/>
    <x v="167"/>
    <x v="4"/>
    <x v="19"/>
    <n v="1330"/>
    <n v="925"/>
    <n v="35"/>
    <n v="15960"/>
    <n v="15379"/>
    <n v="229"/>
    <x v="2"/>
    <x v="0"/>
    <n v="1.1002015735743547"/>
  </r>
  <r>
    <s v="P076"/>
    <x v="2"/>
    <x v="161"/>
    <x v="1"/>
    <x v="23"/>
    <n v="1121"/>
    <n v="135"/>
    <n v="18"/>
    <n v="15694"/>
    <n v="14957"/>
    <n v="99"/>
    <x v="0"/>
    <x v="0"/>
    <n v="1.0595039112121414"/>
  </r>
  <r>
    <s v="P068"/>
    <x v="3"/>
    <x v="168"/>
    <x v="1"/>
    <x v="15"/>
    <n v="2610"/>
    <n v="126"/>
    <n v="288"/>
    <n v="15660"/>
    <n v="15145"/>
    <n v="73"/>
    <x v="1"/>
    <x v="0"/>
    <n v="1.0613403763618356"/>
  </r>
  <r>
    <s v="P295"/>
    <x v="2"/>
    <x v="11"/>
    <x v="0"/>
    <x v="18"/>
    <n v="1952"/>
    <n v="344"/>
    <n v="287"/>
    <n v="15616"/>
    <n v="15403"/>
    <n v="235"/>
    <x v="2"/>
    <x v="1"/>
    <n v="1.0547945205479452"/>
  </r>
  <r>
    <s v="P089"/>
    <x v="2"/>
    <x v="127"/>
    <x v="0"/>
    <x v="18"/>
    <n v="2214"/>
    <n v="249"/>
    <n v="152"/>
    <n v="15498"/>
    <n v="14800"/>
    <n v="180"/>
    <x v="1"/>
    <x v="0"/>
    <n v="1.0742567567567567"/>
  </r>
  <r>
    <s v="P137"/>
    <x v="1"/>
    <x v="4"/>
    <x v="4"/>
    <x v="8"/>
    <n v="3008"/>
    <n v="94"/>
    <n v="37"/>
    <n v="15040"/>
    <n v="14639"/>
    <n v="277"/>
    <x v="2"/>
    <x v="0"/>
    <n v="1.0363412801420862"/>
  </r>
  <r>
    <s v="P218"/>
    <x v="1"/>
    <x v="86"/>
    <x v="2"/>
    <x v="6"/>
    <n v="1869"/>
    <n v="453"/>
    <n v="490"/>
    <n v="14952"/>
    <n v="14309"/>
    <n v="275"/>
    <x v="0"/>
    <x v="0"/>
    <n v="1.1108393318890208"/>
  </r>
  <r>
    <s v="P249"/>
    <x v="2"/>
    <x v="100"/>
    <x v="0"/>
    <x v="18"/>
    <n v="827"/>
    <n v="77"/>
    <n v="402"/>
    <n v="14886"/>
    <n v="14129"/>
    <n v="254"/>
    <x v="1"/>
    <x v="0"/>
    <n v="1.0874796517800269"/>
  </r>
  <r>
    <s v="P055"/>
    <x v="1"/>
    <x v="159"/>
    <x v="0"/>
    <x v="2"/>
    <n v="1226"/>
    <n v="119"/>
    <n v="7"/>
    <n v="14712"/>
    <n v="14049"/>
    <n v="123"/>
    <x v="1"/>
    <x v="0"/>
    <n v="1.056160580824258"/>
  </r>
  <r>
    <s v="P082"/>
    <x v="3"/>
    <x v="169"/>
    <x v="0"/>
    <x v="13"/>
    <n v="725"/>
    <n v="88"/>
    <n v="428"/>
    <n v="14500"/>
    <n v="13637"/>
    <n v="200"/>
    <x v="2"/>
    <x v="1"/>
    <n v="1.1011219476424434"/>
  </r>
  <r>
    <s v="P201"/>
    <x v="2"/>
    <x v="45"/>
    <x v="3"/>
    <x v="4"/>
    <n v="802"/>
    <n v="262"/>
    <n v="244"/>
    <n v="14436"/>
    <n v="14280"/>
    <n v="49"/>
    <x v="1"/>
    <x v="0"/>
    <n v="1.046358543417367"/>
  </r>
  <r>
    <s v="P206"/>
    <x v="2"/>
    <x v="39"/>
    <x v="5"/>
    <x v="12"/>
    <n v="941"/>
    <n v="121"/>
    <n v="458"/>
    <n v="14115"/>
    <n v="13838"/>
    <n v="87"/>
    <x v="1"/>
    <x v="0"/>
    <n v="1.0618586500939442"/>
  </r>
  <r>
    <s v="P192"/>
    <x v="3"/>
    <x v="170"/>
    <x v="4"/>
    <x v="22"/>
    <n v="1176"/>
    <n v="464"/>
    <n v="394"/>
    <n v="14112"/>
    <n v="13588"/>
    <n v="272"/>
    <x v="1"/>
    <x v="0"/>
    <n v="1.1017073888725346"/>
  </r>
  <r>
    <s v="P032"/>
    <x v="2"/>
    <x v="4"/>
    <x v="2"/>
    <x v="3"/>
    <n v="2278"/>
    <n v="10"/>
    <n v="321"/>
    <n v="13668"/>
    <n v="12676"/>
    <n v="275"/>
    <x v="1"/>
    <x v="0"/>
    <n v="1.1043704638687284"/>
  </r>
  <r>
    <s v="P043"/>
    <x v="3"/>
    <x v="171"/>
    <x v="2"/>
    <x v="9"/>
    <n v="2174"/>
    <n v="658"/>
    <n v="15"/>
    <n v="13044"/>
    <n v="12206"/>
    <n v="137"/>
    <x v="0"/>
    <x v="0"/>
    <n v="1.1237915779125021"/>
  </r>
  <r>
    <s v="P263"/>
    <x v="3"/>
    <x v="172"/>
    <x v="3"/>
    <x v="14"/>
    <n v="2603"/>
    <n v="690"/>
    <n v="205"/>
    <n v="13015"/>
    <n v="12130"/>
    <n v="20"/>
    <x v="2"/>
    <x v="0"/>
    <n v="1.1467436108821105"/>
  </r>
  <r>
    <s v="P087"/>
    <x v="2"/>
    <x v="83"/>
    <x v="4"/>
    <x v="19"/>
    <n v="1436"/>
    <n v="765"/>
    <n v="496"/>
    <n v="12924"/>
    <n v="12701"/>
    <n v="197"/>
    <x v="2"/>
    <x v="0"/>
    <n v="1.1168411936068026"/>
  </r>
  <r>
    <s v="P029"/>
    <x v="3"/>
    <x v="173"/>
    <x v="2"/>
    <x v="9"/>
    <n v="2566"/>
    <n v="118"/>
    <n v="37"/>
    <n v="12830"/>
    <n v="12264"/>
    <n v="221"/>
    <x v="2"/>
    <x v="0"/>
    <n v="1.0587899543378996"/>
  </r>
  <r>
    <s v="P159"/>
    <x v="1"/>
    <x v="43"/>
    <x v="1"/>
    <x v="7"/>
    <n v="2120"/>
    <n v="158"/>
    <n v="488"/>
    <n v="12720"/>
    <n v="12085"/>
    <n v="17"/>
    <x v="2"/>
    <x v="0"/>
    <n v="1.1059991725279272"/>
  </r>
  <r>
    <s v="P211"/>
    <x v="2"/>
    <x v="100"/>
    <x v="2"/>
    <x v="3"/>
    <n v="2120"/>
    <n v="38"/>
    <n v="212"/>
    <n v="12720"/>
    <n v="12564"/>
    <n v="21"/>
    <x v="2"/>
    <x v="0"/>
    <n v="1.0323145495065267"/>
  </r>
  <r>
    <s v="P236"/>
    <x v="1"/>
    <x v="101"/>
    <x v="5"/>
    <x v="10"/>
    <n v="1257"/>
    <n v="19"/>
    <n v="351"/>
    <n v="12570"/>
    <n v="11660"/>
    <n v="194"/>
    <x v="2"/>
    <x v="4"/>
    <n v="1.1097770154373927"/>
  </r>
  <r>
    <s v="P042"/>
    <x v="0"/>
    <x v="174"/>
    <x v="3"/>
    <x v="16"/>
    <n v="1543"/>
    <n v="820"/>
    <n v="333"/>
    <n v="12344"/>
    <n v="11496"/>
    <n v="241"/>
    <x v="1"/>
    <x v="0"/>
    <n v="1.1740605427974948"/>
  </r>
  <r>
    <s v="P292"/>
    <x v="1"/>
    <x v="175"/>
    <x v="5"/>
    <x v="10"/>
    <n v="880"/>
    <n v="297"/>
    <n v="345"/>
    <n v="12320"/>
    <n v="11978"/>
    <n v="238"/>
    <x v="0"/>
    <x v="4"/>
    <n v="1.0821506094506594"/>
  </r>
  <r>
    <s v="P195"/>
    <x v="3"/>
    <x v="176"/>
    <x v="2"/>
    <x v="9"/>
    <n v="914"/>
    <n v="464"/>
    <n v="246"/>
    <n v="11882"/>
    <n v="11500"/>
    <n v="282"/>
    <x v="2"/>
    <x v="1"/>
    <n v="1.0949565217391304"/>
  </r>
  <r>
    <s v="P166"/>
    <x v="2"/>
    <x v="112"/>
    <x v="3"/>
    <x v="4"/>
    <n v="1076"/>
    <n v="313"/>
    <n v="306"/>
    <n v="11836"/>
    <n v="11596"/>
    <n v="104"/>
    <x v="2"/>
    <x v="0"/>
    <n v="1.0740772680234563"/>
  </r>
  <r>
    <s v="P060"/>
    <x v="3"/>
    <x v="177"/>
    <x v="4"/>
    <x v="22"/>
    <n v="904"/>
    <n v="973"/>
    <n v="63"/>
    <n v="11752"/>
    <n v="11580"/>
    <n v="84"/>
    <x v="1"/>
    <x v="1"/>
    <n v="1.1043177892918825"/>
  </r>
  <r>
    <s v="P265"/>
    <x v="2"/>
    <x v="178"/>
    <x v="2"/>
    <x v="3"/>
    <n v="1877"/>
    <n v="745"/>
    <n v="225"/>
    <n v="11262"/>
    <n v="10967"/>
    <n v="41"/>
    <x v="1"/>
    <x v="0"/>
    <n v="1.115346038114343"/>
  </r>
  <r>
    <s v="P204"/>
    <x v="3"/>
    <x v="61"/>
    <x v="2"/>
    <x v="9"/>
    <n v="2234"/>
    <n v="653"/>
    <n v="432"/>
    <n v="11170"/>
    <n v="10569"/>
    <n v="198"/>
    <x v="2"/>
    <x v="0"/>
    <n v="1.1595231336928753"/>
  </r>
  <r>
    <s v="P297"/>
    <x v="2"/>
    <x v="179"/>
    <x v="5"/>
    <x v="12"/>
    <n v="2166"/>
    <n v="354"/>
    <n v="117"/>
    <n v="10830"/>
    <n v="10245"/>
    <n v="24"/>
    <x v="1"/>
    <x v="0"/>
    <n v="1.1030746705710102"/>
  </r>
  <r>
    <s v="P052"/>
    <x v="1"/>
    <x v="180"/>
    <x v="0"/>
    <x v="2"/>
    <n v="947"/>
    <n v="338"/>
    <n v="350"/>
    <n v="10417"/>
    <n v="9730"/>
    <n v="34"/>
    <x v="0"/>
    <x v="0"/>
    <n v="1.1413155190133608"/>
  </r>
  <r>
    <s v="P119"/>
    <x v="3"/>
    <x v="181"/>
    <x v="3"/>
    <x v="14"/>
    <n v="1970"/>
    <n v="675"/>
    <n v="478"/>
    <n v="9850"/>
    <n v="8924"/>
    <n v="117"/>
    <x v="2"/>
    <x v="0"/>
    <n v="1.2329672792469744"/>
  </r>
  <r>
    <s v="P083"/>
    <x v="0"/>
    <x v="182"/>
    <x v="4"/>
    <x v="11"/>
    <n v="1094"/>
    <n v="472"/>
    <n v="21"/>
    <n v="9846"/>
    <n v="9609"/>
    <n v="112"/>
    <x v="1"/>
    <x v="0"/>
    <n v="1.0759704443750651"/>
  </r>
  <r>
    <s v="P284"/>
    <x v="2"/>
    <x v="113"/>
    <x v="5"/>
    <x v="12"/>
    <n v="571"/>
    <n v="190"/>
    <n v="352"/>
    <n v="9707"/>
    <n v="9418"/>
    <n v="231"/>
    <x v="0"/>
    <x v="0"/>
    <n v="1.088235294117647"/>
  </r>
  <r>
    <s v="P262"/>
    <x v="0"/>
    <x v="117"/>
    <x v="0"/>
    <x v="0"/>
    <n v="1206"/>
    <n v="238"/>
    <n v="36"/>
    <n v="9648"/>
    <n v="9417"/>
    <n v="237"/>
    <x v="0"/>
    <x v="0"/>
    <n v="1.053626420303706"/>
  </r>
  <r>
    <s v="P198"/>
    <x v="2"/>
    <x v="183"/>
    <x v="0"/>
    <x v="18"/>
    <n v="1048"/>
    <n v="374"/>
    <n v="450"/>
    <n v="9432"/>
    <n v="8882"/>
    <n v="158"/>
    <x v="0"/>
    <x v="0"/>
    <n v="1.1546948885386175"/>
  </r>
  <r>
    <s v="P276"/>
    <x v="2"/>
    <x v="184"/>
    <x v="2"/>
    <x v="3"/>
    <n v="1556"/>
    <n v="195"/>
    <n v="131"/>
    <n v="9336"/>
    <n v="8875"/>
    <n v="137"/>
    <x v="0"/>
    <x v="0"/>
    <n v="1.0886760563380282"/>
  </r>
  <r>
    <s v="P046"/>
    <x v="2"/>
    <x v="185"/>
    <x v="4"/>
    <x v="19"/>
    <n v="1108"/>
    <n v="177"/>
    <n v="212"/>
    <n v="8864"/>
    <n v="8710"/>
    <n v="97"/>
    <x v="0"/>
    <x v="0"/>
    <n v="1.0623421354764639"/>
  </r>
  <r>
    <s v="P077"/>
    <x v="1"/>
    <x v="153"/>
    <x v="1"/>
    <x v="7"/>
    <n v="1249"/>
    <n v="116"/>
    <n v="420"/>
    <n v="8743"/>
    <n v="8538"/>
    <n v="63"/>
    <x v="0"/>
    <x v="0"/>
    <n v="1.0867884750527055"/>
  </r>
  <r>
    <s v="P226"/>
    <x v="3"/>
    <x v="186"/>
    <x v="2"/>
    <x v="9"/>
    <n v="1741"/>
    <n v="164"/>
    <n v="318"/>
    <n v="8705"/>
    <n v="8272"/>
    <n v="121"/>
    <x v="0"/>
    <x v="0"/>
    <n v="1.1106141199226305"/>
  </r>
  <r>
    <s v="P093"/>
    <x v="3"/>
    <x v="142"/>
    <x v="4"/>
    <x v="22"/>
    <n v="1431"/>
    <n v="951"/>
    <n v="26"/>
    <n v="8586"/>
    <n v="8396"/>
    <n v="150"/>
    <x v="1"/>
    <x v="0"/>
    <n v="1.1389947594092424"/>
  </r>
  <r>
    <s v="P120"/>
    <x v="1"/>
    <x v="36"/>
    <x v="1"/>
    <x v="7"/>
    <n v="780"/>
    <n v="928"/>
    <n v="301"/>
    <n v="8580"/>
    <n v="8081"/>
    <n v="91"/>
    <x v="1"/>
    <x v="0"/>
    <n v="1.2138349214206163"/>
  </r>
  <r>
    <s v="P041"/>
    <x v="3"/>
    <x v="96"/>
    <x v="3"/>
    <x v="14"/>
    <n v="456"/>
    <n v="629"/>
    <n v="428"/>
    <n v="8208"/>
    <n v="7377"/>
    <n v="205"/>
    <x v="2"/>
    <x v="0"/>
    <n v="1.2559305950928561"/>
  </r>
  <r>
    <s v="P181"/>
    <x v="0"/>
    <x v="187"/>
    <x v="0"/>
    <x v="0"/>
    <n v="606"/>
    <n v="789"/>
    <n v="470"/>
    <n v="7878"/>
    <n v="7389"/>
    <n v="239"/>
    <x v="1"/>
    <x v="0"/>
    <n v="1.2365678711598322"/>
  </r>
  <r>
    <s v="P219"/>
    <x v="2"/>
    <x v="177"/>
    <x v="3"/>
    <x v="4"/>
    <n v="1188"/>
    <n v="470"/>
    <n v="174"/>
    <n v="7128"/>
    <n v="6145"/>
    <n v="270"/>
    <x v="0"/>
    <x v="0"/>
    <n v="1.2647681041497152"/>
  </r>
  <r>
    <s v="P287"/>
    <x v="3"/>
    <x v="176"/>
    <x v="3"/>
    <x v="14"/>
    <n v="1164"/>
    <n v="616"/>
    <n v="324"/>
    <n v="6984"/>
    <n v="6636"/>
    <n v="82"/>
    <x v="1"/>
    <x v="0"/>
    <n v="1.1940928270042195"/>
  </r>
  <r>
    <s v="P028"/>
    <x v="3"/>
    <x v="153"/>
    <x v="4"/>
    <x v="22"/>
    <n v="432"/>
    <n v="624"/>
    <n v="123"/>
    <n v="6912"/>
    <n v="6259"/>
    <n v="79"/>
    <x v="2"/>
    <x v="0"/>
    <n v="1.2236779038185013"/>
  </r>
  <r>
    <s v="P154"/>
    <x v="3"/>
    <x v="90"/>
    <x v="2"/>
    <x v="9"/>
    <n v="985"/>
    <n v="932"/>
    <n v="287"/>
    <n v="6895"/>
    <n v="6757"/>
    <n v="64"/>
    <x v="2"/>
    <x v="0"/>
    <n v="1.2008287701642741"/>
  </r>
  <r>
    <s v="P153"/>
    <x v="2"/>
    <x v="61"/>
    <x v="4"/>
    <x v="19"/>
    <n v="754"/>
    <n v="197"/>
    <n v="257"/>
    <n v="6786"/>
    <n v="6221"/>
    <n v="212"/>
    <x v="0"/>
    <x v="0"/>
    <n v="1.1638000321491722"/>
  </r>
  <r>
    <s v="P246"/>
    <x v="1"/>
    <x v="188"/>
    <x v="0"/>
    <x v="2"/>
    <n v="400"/>
    <n v="680"/>
    <n v="434"/>
    <n v="6400"/>
    <n v="5472"/>
    <n v="160"/>
    <x v="2"/>
    <x v="0"/>
    <n v="1.373172514619883"/>
  </r>
  <r>
    <s v="P102"/>
    <x v="2"/>
    <x v="85"/>
    <x v="3"/>
    <x v="4"/>
    <n v="1000"/>
    <n v="978"/>
    <n v="162"/>
    <n v="6000"/>
    <n v="5221"/>
    <n v="223"/>
    <x v="1"/>
    <x v="0"/>
    <n v="1.3675541084083509"/>
  </r>
  <r>
    <s v="P088"/>
    <x v="1"/>
    <x v="123"/>
    <x v="1"/>
    <x v="7"/>
    <n v="302"/>
    <n v="47"/>
    <n v="430"/>
    <n v="5738"/>
    <n v="4890"/>
    <n v="25"/>
    <x v="0"/>
    <x v="0"/>
    <n v="1.2709611451942739"/>
  </r>
  <r>
    <s v="P072"/>
    <x v="0"/>
    <x v="94"/>
    <x v="3"/>
    <x v="16"/>
    <n v="296"/>
    <n v="60"/>
    <n v="141"/>
    <n v="5624"/>
    <n v="5239"/>
    <n v="88"/>
    <x v="1"/>
    <x v="0"/>
    <n v="1.1118534071387669"/>
  </r>
  <r>
    <s v="P124"/>
    <x v="0"/>
    <x v="69"/>
    <x v="2"/>
    <x v="5"/>
    <n v="736"/>
    <n v="771"/>
    <n v="225"/>
    <n v="5152"/>
    <n v="4706"/>
    <n v="19"/>
    <x v="1"/>
    <x v="0"/>
    <n v="1.3064173395665108"/>
  </r>
  <r>
    <s v="P121"/>
    <x v="3"/>
    <x v="93"/>
    <x v="1"/>
    <x v="15"/>
    <n v="498"/>
    <n v="701"/>
    <n v="412"/>
    <n v="4980"/>
    <n v="4185"/>
    <n v="185"/>
    <x v="2"/>
    <x v="0"/>
    <n v="1.4559139784946236"/>
  </r>
  <r>
    <s v="P183"/>
    <x v="3"/>
    <x v="189"/>
    <x v="1"/>
    <x v="15"/>
    <n v="360"/>
    <n v="590"/>
    <n v="393"/>
    <n v="4680"/>
    <n v="4322"/>
    <n v="208"/>
    <x v="2"/>
    <x v="0"/>
    <n v="1.3102730217491902"/>
  </r>
  <r>
    <s v="P227"/>
    <x v="3"/>
    <x v="190"/>
    <x v="5"/>
    <x v="21"/>
    <n v="246"/>
    <n v="149"/>
    <n v="130"/>
    <n v="4674"/>
    <n v="4390"/>
    <n v="217"/>
    <x v="2"/>
    <x v="0"/>
    <n v="1.1282460136674259"/>
  </r>
  <r>
    <s v="P138"/>
    <x v="2"/>
    <x v="10"/>
    <x v="0"/>
    <x v="18"/>
    <n v="305"/>
    <n v="187"/>
    <n v="243"/>
    <n v="4575"/>
    <n v="3704"/>
    <n v="234"/>
    <x v="2"/>
    <x v="0"/>
    <n v="1.3512419006479481"/>
  </r>
  <r>
    <s v="P105"/>
    <x v="3"/>
    <x v="147"/>
    <x v="2"/>
    <x v="9"/>
    <n v="498"/>
    <n v="38"/>
    <n v="42"/>
    <n v="4482"/>
    <n v="3647"/>
    <n v="32"/>
    <x v="2"/>
    <x v="0"/>
    <n v="1.2508911434055388"/>
  </r>
  <r>
    <s v="P248"/>
    <x v="1"/>
    <x v="131"/>
    <x v="1"/>
    <x v="7"/>
    <n v="886"/>
    <n v="126"/>
    <n v="153"/>
    <n v="4430"/>
    <n v="4037"/>
    <n v="212"/>
    <x v="1"/>
    <x v="0"/>
    <n v="1.1664602427545208"/>
  </r>
  <r>
    <s v="P224"/>
    <x v="1"/>
    <x v="191"/>
    <x v="0"/>
    <x v="2"/>
    <n v="602"/>
    <n v="594"/>
    <n v="156"/>
    <n v="4214"/>
    <n v="3363"/>
    <n v="164"/>
    <x v="0"/>
    <x v="0"/>
    <n v="1.4760630389533156"/>
  </r>
  <r>
    <s v="P214"/>
    <x v="3"/>
    <x v="146"/>
    <x v="0"/>
    <x v="13"/>
    <n v="521"/>
    <n v="746"/>
    <n v="315"/>
    <n v="4168"/>
    <n v="3399"/>
    <n v="282"/>
    <x v="2"/>
    <x v="0"/>
    <n v="1.5383936451897617"/>
  </r>
  <r>
    <s v="P053"/>
    <x v="0"/>
    <x v="149"/>
    <x v="2"/>
    <x v="5"/>
    <n v="804"/>
    <n v="639"/>
    <n v="43"/>
    <n v="4020"/>
    <n v="3144"/>
    <n v="11"/>
    <x v="1"/>
    <x v="2"/>
    <n v="1.4955470737913485"/>
  </r>
  <r>
    <s v="P070"/>
    <x v="1"/>
    <x v="192"/>
    <x v="4"/>
    <x v="8"/>
    <n v="199"/>
    <n v="772"/>
    <n v="400"/>
    <n v="3582"/>
    <n v="2988"/>
    <n v="43"/>
    <x v="0"/>
    <x v="0"/>
    <n v="1.5910307898259706"/>
  </r>
  <r>
    <s v="P259"/>
    <x v="1"/>
    <x v="133"/>
    <x v="5"/>
    <x v="10"/>
    <n v="562"/>
    <n v="158"/>
    <n v="149"/>
    <n v="3372"/>
    <n v="2940"/>
    <n v="93"/>
    <x v="0"/>
    <x v="0"/>
    <n v="1.2513605442176872"/>
  </r>
  <r>
    <s v="P210"/>
    <x v="0"/>
    <x v="64"/>
    <x v="0"/>
    <x v="0"/>
    <n v="257"/>
    <n v="966"/>
    <n v="398"/>
    <n v="3341"/>
    <n v="2753"/>
    <n v="287"/>
    <x v="2"/>
    <x v="0"/>
    <n v="1.70904467853251"/>
  </r>
  <r>
    <s v="P031"/>
    <x v="3"/>
    <x v="193"/>
    <x v="5"/>
    <x v="21"/>
    <n v="438"/>
    <n v="153"/>
    <n v="275"/>
    <n v="3066"/>
    <n v="2701"/>
    <n v="282"/>
    <x v="0"/>
    <x v="0"/>
    <n v="1.2935949648278415"/>
  </r>
  <r>
    <s v="P066"/>
    <x v="2"/>
    <x v="104"/>
    <x v="2"/>
    <x v="3"/>
    <n v="432"/>
    <n v="171"/>
    <n v="280"/>
    <n v="3024"/>
    <n v="2285"/>
    <n v="184"/>
    <x v="1"/>
    <x v="0"/>
    <n v="1.5207877461706782"/>
  </r>
  <r>
    <s v="P175"/>
    <x v="3"/>
    <x v="194"/>
    <x v="3"/>
    <x v="14"/>
    <n v="142"/>
    <n v="784"/>
    <n v="183"/>
    <n v="1704"/>
    <n v="995"/>
    <n v="154"/>
    <x v="2"/>
    <x v="0"/>
    <n v="2.6844221105527639"/>
  </r>
  <r>
    <s v="P232"/>
    <x v="2"/>
    <x v="195"/>
    <x v="1"/>
    <x v="23"/>
    <n v="249"/>
    <n v="592"/>
    <n v="230"/>
    <n v="1494"/>
    <n v="1044"/>
    <n v="201"/>
    <x v="1"/>
    <x v="0"/>
    <n v="2.2183908045977012"/>
  </r>
  <r>
    <s v="P178"/>
    <x v="3"/>
    <x v="161"/>
    <x v="4"/>
    <x v="22"/>
    <n v="129"/>
    <n v="643"/>
    <n v="136"/>
    <n v="1290"/>
    <n v="839"/>
    <n v="238"/>
    <x v="0"/>
    <x v="0"/>
    <n v="2.466030989272944"/>
  </r>
  <r>
    <s v="P143"/>
    <x v="0"/>
    <x v="41"/>
    <x v="2"/>
    <x v="5"/>
    <n v="80"/>
    <n v="362"/>
    <n v="80"/>
    <n v="1040"/>
    <n v="349"/>
    <n v="117"/>
    <x v="0"/>
    <x v="0"/>
    <n v="4.2464183381088825"/>
  </r>
  <r>
    <s v="P058"/>
    <x v="3"/>
    <x v="132"/>
    <x v="3"/>
    <x v="14"/>
    <n v="103"/>
    <n v="770"/>
    <n v="19"/>
    <n v="1030"/>
    <n v="410"/>
    <n v="262"/>
    <x v="0"/>
    <x v="0"/>
    <n v="4.4365853658536585"/>
  </r>
  <r>
    <s v="P062"/>
    <x v="2"/>
    <x v="196"/>
    <x v="2"/>
    <x v="3"/>
    <n v="53"/>
    <n v="81"/>
    <n v="379"/>
    <n v="954"/>
    <n v="7"/>
    <n v="148"/>
    <x v="0"/>
    <x v="0"/>
    <n v="202"/>
  </r>
  <r>
    <s v="P264"/>
    <x v="2"/>
    <x v="197"/>
    <x v="0"/>
    <x v="18"/>
    <n v="59"/>
    <n v="163"/>
    <n v="93"/>
    <n v="590"/>
    <n v="475"/>
    <n v="293"/>
    <x v="0"/>
    <x v="0"/>
    <n v="1.7810526315789474"/>
  </r>
  <r>
    <s v="P220"/>
    <x v="3"/>
    <x v="118"/>
    <x v="1"/>
    <x v="15"/>
    <n v="84"/>
    <n v="897"/>
    <n v="85"/>
    <n v="588"/>
    <n v="8"/>
    <n v="12"/>
    <x v="1"/>
    <x v="0"/>
    <n v="196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</r>
  <r>
    <x v="0"/>
    <x v="1"/>
    <n v="1312"/>
    <n v="310"/>
    <n v="42654"/>
    <n v="4.9800000000000004"/>
    <n v="9566"/>
  </r>
  <r>
    <x v="0"/>
    <x v="2"/>
    <n v="584"/>
    <n v="169"/>
    <n v="146834"/>
    <n v="8.31"/>
    <n v="26752"/>
  </r>
  <r>
    <x v="0"/>
    <x v="3"/>
    <n v="1535"/>
    <n v="445"/>
    <n v="395536"/>
    <n v="4.1100000000000003"/>
    <n v="30671"/>
  </r>
  <r>
    <x v="1"/>
    <x v="0"/>
    <n v="656"/>
    <n v="139"/>
    <n v="49157"/>
    <n v="9.0500000000000007"/>
    <n v="9920"/>
  </r>
  <r>
    <x v="1"/>
    <x v="1"/>
    <n v="1697"/>
    <n v="414"/>
    <n v="316555"/>
    <n v="2.37"/>
    <n v="7924"/>
  </r>
  <r>
    <x v="1"/>
    <x v="2"/>
    <n v="436"/>
    <n v="250"/>
    <n v="254347"/>
    <n v="4.01"/>
    <n v="8912"/>
  </r>
  <r>
    <x v="1"/>
    <x v="3"/>
    <n v="1197"/>
    <n v="203"/>
    <n v="413878"/>
    <n v="3.16"/>
    <n v="21205"/>
  </r>
  <r>
    <x v="2"/>
    <x v="0"/>
    <n v="1048"/>
    <n v="155"/>
    <n v="456946"/>
    <n v="2.46"/>
    <n v="11329"/>
  </r>
  <r>
    <x v="2"/>
    <x v="1"/>
    <n v="1753"/>
    <n v="371"/>
    <n v="169496"/>
    <n v="8.11"/>
    <n v="46670"/>
  </r>
  <r>
    <x v="2"/>
    <x v="2"/>
    <n v="1335"/>
    <n v="40"/>
    <n v="122732"/>
    <n v="8.19"/>
    <n v="22482"/>
  </r>
  <r>
    <x v="2"/>
    <x v="3"/>
    <n v="403"/>
    <n v="66"/>
    <n v="382851"/>
    <n v="3.49"/>
    <n v="24313"/>
  </r>
  <r>
    <x v="3"/>
    <x v="0"/>
    <n v="911"/>
    <n v="282"/>
    <n v="35664"/>
    <n v="6.92"/>
    <n v="18050"/>
  </r>
  <r>
    <x v="3"/>
    <x v="1"/>
    <n v="1779"/>
    <n v="109"/>
    <n v="26295"/>
    <n v="9.1199999999999992"/>
    <n v="30635"/>
  </r>
  <r>
    <x v="3"/>
    <x v="2"/>
    <n v="1238"/>
    <n v="403"/>
    <n v="298421"/>
    <n v="3.5"/>
    <n v="31280"/>
  </r>
  <r>
    <x v="3"/>
    <x v="3"/>
    <n v="308"/>
    <n v="431"/>
    <n v="426184"/>
    <n v="2.62"/>
    <n v="1783"/>
  </r>
  <r>
    <x v="4"/>
    <x v="0"/>
    <n v="226"/>
    <n v="445"/>
    <n v="419447"/>
    <n v="9.36"/>
    <n v="9566"/>
  </r>
  <r>
    <x v="4"/>
    <x v="1"/>
    <n v="505"/>
    <n v="441"/>
    <n v="220020"/>
    <n v="4.4800000000000004"/>
    <n v="42307"/>
  </r>
  <r>
    <x v="4"/>
    <x v="2"/>
    <n v="1420"/>
    <n v="63"/>
    <n v="315305"/>
    <n v="6.19"/>
    <n v="5914"/>
  </r>
  <r>
    <x v="4"/>
    <x v="3"/>
    <n v="144"/>
    <n v="53"/>
    <n v="113678"/>
    <n v="8.7200000000000006"/>
    <n v="30060"/>
  </r>
  <r>
    <x v="5"/>
    <x v="0"/>
    <n v="1757"/>
    <n v="85"/>
    <n v="58223"/>
    <n v="8.74"/>
    <n v="22728"/>
  </r>
  <r>
    <x v="5"/>
    <x v="1"/>
    <n v="350"/>
    <n v="41"/>
    <n v="251694"/>
    <n v="1.91"/>
    <n v="38610"/>
  </r>
  <r>
    <x v="5"/>
    <x v="2"/>
    <n v="987"/>
    <n v="440"/>
    <n v="389810"/>
    <n v="4.66"/>
    <n v="2932"/>
  </r>
  <r>
    <x v="5"/>
    <x v="3"/>
    <n v="883"/>
    <n v="369"/>
    <n v="233694"/>
    <n v="2.88"/>
    <n v="15071"/>
  </r>
  <r>
    <x v="6"/>
    <x v="0"/>
    <n v="1960"/>
    <n v="115"/>
    <n v="154169"/>
    <n v="3.74"/>
    <n v="10740"/>
  </r>
  <r>
    <x v="6"/>
    <x v="1"/>
    <n v="170"/>
    <n v="334"/>
    <n v="334626"/>
    <n v="6.44"/>
    <n v="43420"/>
  </r>
  <r>
    <x v="6"/>
    <x v="2"/>
    <n v="704"/>
    <n v="275"/>
    <n v="226002"/>
    <n v="8.56"/>
    <n v="32393"/>
  </r>
  <r>
    <x v="6"/>
    <x v="3"/>
    <n v="224"/>
    <n v="64"/>
    <n v="156683"/>
    <n v="4.5599999999999996"/>
    <n v="28474"/>
  </r>
  <r>
    <x v="7"/>
    <x v="0"/>
    <n v="508"/>
    <n v="349"/>
    <n v="473812"/>
    <n v="7.88"/>
    <n v="17328"/>
  </r>
  <r>
    <x v="7"/>
    <x v="1"/>
    <n v="1391"/>
    <n v="430"/>
    <n v="295032"/>
    <n v="7.86"/>
    <n v="26067"/>
  </r>
  <r>
    <x v="7"/>
    <x v="2"/>
    <n v="1701"/>
    <n v="385"/>
    <n v="198278"/>
    <n v="5.34"/>
    <n v="32763"/>
  </r>
  <r>
    <x v="7"/>
    <x v="3"/>
    <n v="804"/>
    <n v="487"/>
    <n v="306564"/>
    <n v="5.52"/>
    <n v="26452"/>
  </r>
  <r>
    <x v="8"/>
    <x v="0"/>
    <n v="653"/>
    <n v="112"/>
    <n v="23664"/>
    <n v="4.05"/>
    <n v="15353"/>
  </r>
  <r>
    <x v="8"/>
    <x v="1"/>
    <n v="160"/>
    <n v="478"/>
    <n v="435034"/>
    <n v="7.73"/>
    <n v="4839"/>
  </r>
  <r>
    <x v="8"/>
    <x v="2"/>
    <n v="1756"/>
    <n v="261"/>
    <n v="287574"/>
    <n v="4.3600000000000003"/>
    <n v="39272"/>
  </r>
  <r>
    <x v="8"/>
    <x v="3"/>
    <n v="576"/>
    <n v="101"/>
    <n v="62499"/>
    <n v="3.48"/>
    <n v="16804"/>
  </r>
  <r>
    <x v="9"/>
    <x v="0"/>
    <n v="645"/>
    <n v="293"/>
    <n v="437968"/>
    <n v="7.83"/>
    <n v="49303"/>
  </r>
  <r>
    <x v="9"/>
    <x v="1"/>
    <n v="214"/>
    <n v="411"/>
    <n v="125034"/>
    <n v="6.11"/>
    <n v="26455"/>
  </r>
  <r>
    <x v="9"/>
    <x v="2"/>
    <n v="826"/>
    <n v="498"/>
    <n v="449994"/>
    <n v="9.43"/>
    <n v="12384"/>
  </r>
  <r>
    <x v="9"/>
    <x v="3"/>
    <n v="460"/>
    <n v="141"/>
    <n v="320650"/>
    <n v="4.04"/>
    <n v="49372"/>
  </r>
  <r>
    <x v="10"/>
    <x v="0"/>
    <n v="1528"/>
    <n v="203"/>
    <n v="489188"/>
    <n v="6.23"/>
    <n v="47101"/>
  </r>
  <r>
    <x v="10"/>
    <x v="1"/>
    <n v="1534"/>
    <n v="200"/>
    <n v="307612"/>
    <n v="6.01"/>
    <n v="37903"/>
  </r>
  <r>
    <x v="10"/>
    <x v="2"/>
    <n v="485"/>
    <n v="448"/>
    <n v="434883"/>
    <n v="8.5500000000000007"/>
    <n v="33258"/>
  </r>
  <r>
    <x v="10"/>
    <x v="3"/>
    <n v="1210"/>
    <n v="178"/>
    <n v="102042"/>
    <n v="5.42"/>
    <n v="6915"/>
  </r>
  <r>
    <x v="11"/>
    <x v="0"/>
    <n v="215"/>
    <n v="139"/>
    <n v="325444"/>
    <n v="3.25"/>
    <n v="35501"/>
  </r>
  <r>
    <x v="11"/>
    <x v="1"/>
    <n v="1078"/>
    <n v="20"/>
    <n v="183924"/>
    <n v="8.84"/>
    <n v="14203"/>
  </r>
  <r>
    <x v="11"/>
    <x v="2"/>
    <n v="1751"/>
    <n v="86"/>
    <n v="188655"/>
    <n v="7.24"/>
    <n v="22206"/>
  </r>
  <r>
    <x v="11"/>
    <x v="3"/>
    <n v="221"/>
    <n v="31"/>
    <n v="87443"/>
    <n v="6.19"/>
    <n v="10283"/>
  </r>
  <r>
    <x v="12"/>
    <x v="0"/>
    <n v="1685"/>
    <n v="76"/>
    <n v="453799"/>
    <n v="5.71"/>
    <n v="24913"/>
  </r>
  <r>
    <x v="12"/>
    <x v="1"/>
    <n v="248"/>
    <n v="211"/>
    <n v="379380"/>
    <n v="9.0399999999999991"/>
    <n v="26925"/>
  </r>
  <r>
    <x v="12"/>
    <x v="2"/>
    <n v="1300"/>
    <n v="71"/>
    <n v="186454"/>
    <n v="3.91"/>
    <n v="9942"/>
  </r>
  <r>
    <x v="12"/>
    <x v="3"/>
    <n v="422"/>
    <n v="394"/>
    <n v="239044"/>
    <n v="7.83"/>
    <n v="32929"/>
  </r>
  <r>
    <x v="13"/>
    <x v="0"/>
    <n v="1429"/>
    <n v="182"/>
    <n v="101332"/>
    <n v="7.16"/>
    <n v="37829"/>
  </r>
  <r>
    <x v="13"/>
    <x v="1"/>
    <n v="1520"/>
    <n v="475"/>
    <n v="496982"/>
    <n v="6.41"/>
    <n v="24384"/>
  </r>
  <r>
    <x v="13"/>
    <x v="2"/>
    <n v="557"/>
    <n v="360"/>
    <n v="318779"/>
    <n v="8.02"/>
    <n v="25797"/>
  </r>
  <r>
    <x v="13"/>
    <x v="3"/>
    <n v="728"/>
    <n v="395"/>
    <n v="370971"/>
    <n v="3.86"/>
    <n v="12646"/>
  </r>
  <r>
    <x v="14"/>
    <x v="0"/>
    <n v="1592"/>
    <n v="20"/>
    <n v="378054"/>
    <n v="9.09"/>
    <n v="26663"/>
  </r>
  <r>
    <x v="14"/>
    <x v="1"/>
    <n v="1842"/>
    <n v="414"/>
    <n v="307524"/>
    <n v="1.76"/>
    <n v="40478"/>
  </r>
  <r>
    <x v="14"/>
    <x v="2"/>
    <n v="751"/>
    <n v="491"/>
    <n v="434047"/>
    <n v="9.24"/>
    <n v="15476"/>
  </r>
  <r>
    <x v="14"/>
    <x v="3"/>
    <n v="1409"/>
    <n v="309"/>
    <n v="64583"/>
    <n v="8.99"/>
    <n v="10217"/>
  </r>
  <r>
    <x v="15"/>
    <x v="0"/>
    <n v="778"/>
    <n v="401"/>
    <n v="50793"/>
    <n v="3.4"/>
    <n v="21939"/>
  </r>
  <r>
    <x v="15"/>
    <x v="1"/>
    <n v="443"/>
    <n v="345"/>
    <n v="474162"/>
    <n v="9.1999999999999993"/>
    <n v="47462"/>
  </r>
  <r>
    <x v="15"/>
    <x v="2"/>
    <n v="1472"/>
    <n v="347"/>
    <n v="392355"/>
    <n v="8.59"/>
    <n v="30270"/>
  </r>
  <r>
    <x v="15"/>
    <x v="3"/>
    <n v="123"/>
    <n v="155"/>
    <n v="119934"/>
    <n v="3.5"/>
    <n v="5442"/>
  </r>
  <r>
    <x v="16"/>
    <x v="0"/>
    <n v="817"/>
    <n v="151"/>
    <n v="422625"/>
    <n v="2.36"/>
    <n v="1083"/>
  </r>
  <r>
    <x v="16"/>
    <x v="1"/>
    <n v="198"/>
    <n v="217"/>
    <n v="239753"/>
    <n v="7.36"/>
    <n v="11901"/>
  </r>
  <r>
    <x v="16"/>
    <x v="2"/>
    <n v="1911"/>
    <n v="231"/>
    <n v="268516"/>
    <n v="8.5500000000000007"/>
    <n v="24018"/>
  </r>
  <r>
    <x v="16"/>
    <x v="3"/>
    <n v="1218"/>
    <n v="212"/>
    <n v="63177"/>
    <n v="8.1300000000000008"/>
    <n v="38883"/>
  </r>
  <r>
    <x v="17"/>
    <x v="0"/>
    <n v="1433"/>
    <n v="408"/>
    <n v="370269"/>
    <n v="3.3"/>
    <n v="30575"/>
  </r>
  <r>
    <x v="17"/>
    <x v="1"/>
    <n v="250"/>
    <n v="429"/>
    <n v="453423"/>
    <n v="1.77"/>
    <n v="2315"/>
  </r>
  <r>
    <x v="17"/>
    <x v="2"/>
    <n v="752"/>
    <n v="153"/>
    <n v="64906"/>
    <n v="2.09"/>
    <n v="12148"/>
  </r>
  <r>
    <x v="17"/>
    <x v="3"/>
    <n v="1918"/>
    <n v="212"/>
    <n v="94360"/>
    <n v="7.36"/>
    <n v="36851"/>
  </r>
  <r>
    <x v="18"/>
    <x v="0"/>
    <n v="1939"/>
    <n v="67"/>
    <n v="187183"/>
    <n v="6.25"/>
    <n v="41215"/>
  </r>
  <r>
    <x v="18"/>
    <x v="1"/>
    <n v="1929"/>
    <n v="267"/>
    <n v="379363"/>
    <n v="1.75"/>
    <n v="43836"/>
  </r>
  <r>
    <x v="18"/>
    <x v="2"/>
    <n v="437"/>
    <n v="330"/>
    <n v="476486"/>
    <n v="4.97"/>
    <n v="4509"/>
  </r>
  <r>
    <x v="18"/>
    <x v="3"/>
    <n v="307"/>
    <n v="189"/>
    <n v="117767"/>
    <n v="9.3000000000000007"/>
    <n v="27822"/>
  </r>
  <r>
    <x v="19"/>
    <x v="0"/>
    <n v="1527"/>
    <n v="303"/>
    <n v="388555"/>
    <n v="8.9"/>
    <n v="36397"/>
  </r>
  <r>
    <x v="19"/>
    <x v="1"/>
    <n v="643"/>
    <n v="358"/>
    <n v="157599"/>
    <n v="3.88"/>
    <n v="7285"/>
  </r>
  <r>
    <x v="19"/>
    <x v="2"/>
    <n v="201"/>
    <n v="221"/>
    <n v="309772"/>
    <n v="5.9"/>
    <n v="33174"/>
  </r>
  <r>
    <x v="19"/>
    <x v="3"/>
    <n v="414"/>
    <n v="47"/>
    <n v="199178"/>
    <n v="1.53"/>
    <n v="6742"/>
  </r>
  <r>
    <x v="20"/>
    <x v="0"/>
    <n v="703"/>
    <n v="441"/>
    <n v="357089"/>
    <n v="6.5"/>
    <n v="32478"/>
  </r>
  <r>
    <x v="20"/>
    <x v="1"/>
    <n v="508"/>
    <n v="69"/>
    <n v="23492"/>
    <n v="3.16"/>
    <n v="42824"/>
  </r>
  <r>
    <x v="20"/>
    <x v="2"/>
    <n v="697"/>
    <n v="61"/>
    <n v="258287"/>
    <n v="8.25"/>
    <n v="21208"/>
  </r>
  <r>
    <x v="20"/>
    <x v="3"/>
    <n v="1707"/>
    <n v="223"/>
    <n v="256910"/>
    <n v="5.41"/>
    <n v="44321"/>
  </r>
  <r>
    <x v="21"/>
    <x v="0"/>
    <n v="642"/>
    <n v="66"/>
    <n v="346522"/>
    <n v="5.85"/>
    <n v="13116"/>
  </r>
  <r>
    <x v="21"/>
    <x v="1"/>
    <n v="859"/>
    <n v="473"/>
    <n v="209987"/>
    <n v="4.46"/>
    <n v="30214"/>
  </r>
  <r>
    <x v="21"/>
    <x v="2"/>
    <n v="191"/>
    <n v="154"/>
    <n v="240550"/>
    <n v="5.22"/>
    <n v="15827"/>
  </r>
  <r>
    <x v="21"/>
    <x v="3"/>
    <n v="1814"/>
    <n v="157"/>
    <n v="305827"/>
    <n v="1.99"/>
    <n v="46643"/>
  </r>
  <r>
    <x v="22"/>
    <x v="0"/>
    <n v="1466"/>
    <n v="69"/>
    <n v="54935"/>
    <n v="6.85"/>
    <n v="36484"/>
  </r>
  <r>
    <x v="22"/>
    <x v="1"/>
    <n v="947"/>
    <n v="407"/>
    <n v="319186"/>
    <n v="3.32"/>
    <n v="4996"/>
  </r>
  <r>
    <x v="22"/>
    <x v="2"/>
    <n v="1821"/>
    <n v="218"/>
    <n v="439080"/>
    <n v="5.68"/>
    <n v="36095"/>
  </r>
  <r>
    <x v="22"/>
    <x v="3"/>
    <n v="1507"/>
    <n v="463"/>
    <n v="258944"/>
    <n v="6.08"/>
    <n v="16443"/>
  </r>
  <r>
    <x v="23"/>
    <x v="0"/>
    <n v="1075"/>
    <n v="173"/>
    <n v="51395"/>
    <n v="4.66"/>
    <n v="47812"/>
  </r>
  <r>
    <x v="23"/>
    <x v="1"/>
    <n v="171"/>
    <n v="277"/>
    <n v="309483"/>
    <n v="8.6999999999999993"/>
    <n v="38452"/>
  </r>
  <r>
    <x v="23"/>
    <x v="2"/>
    <n v="1487"/>
    <n v="337"/>
    <n v="87305"/>
    <n v="2.46"/>
    <n v="30428"/>
  </r>
  <r>
    <x v="23"/>
    <x v="3"/>
    <n v="454"/>
    <n v="105"/>
    <n v="121091"/>
    <n v="7.97"/>
    <n v="9269"/>
  </r>
  <r>
    <x v="24"/>
    <x v="0"/>
    <n v="187"/>
    <n v="236"/>
    <n v="51087"/>
    <n v="9.41"/>
    <n v="29533"/>
  </r>
  <r>
    <x v="24"/>
    <x v="1"/>
    <n v="513"/>
    <n v="441"/>
    <n v="338847"/>
    <n v="2.68"/>
    <n v="39997"/>
  </r>
  <r>
    <x v="24"/>
    <x v="2"/>
    <n v="628"/>
    <n v="183"/>
    <n v="487523"/>
    <n v="7.32"/>
    <n v="5391"/>
  </r>
  <r>
    <x v="24"/>
    <x v="3"/>
    <n v="278"/>
    <n v="218"/>
    <n v="301695"/>
    <n v="4.68"/>
    <n v="22373"/>
  </r>
  <r>
    <x v="25"/>
    <x v="0"/>
    <n v="1854"/>
    <n v="161"/>
    <n v="282466"/>
    <n v="5.17"/>
    <n v="1810"/>
  </r>
  <r>
    <x v="25"/>
    <x v="1"/>
    <n v="1710"/>
    <n v="378"/>
    <n v="336661"/>
    <n v="6.2"/>
    <n v="28498"/>
  </r>
  <r>
    <x v="25"/>
    <x v="2"/>
    <n v="330"/>
    <n v="232"/>
    <n v="88455"/>
    <n v="2.69"/>
    <n v="39530"/>
  </r>
  <r>
    <x v="25"/>
    <x v="3"/>
    <n v="1293"/>
    <n v="408"/>
    <n v="62535"/>
    <n v="8.9"/>
    <n v="37876"/>
  </r>
  <r>
    <x v="26"/>
    <x v="0"/>
    <n v="1696"/>
    <n v="71"/>
    <n v="421957"/>
    <n v="3.79"/>
    <n v="36103"/>
  </r>
  <r>
    <x v="26"/>
    <x v="1"/>
    <n v="1902"/>
    <n v="196"/>
    <n v="470269"/>
    <n v="4.79"/>
    <n v="26103"/>
  </r>
  <r>
    <x v="26"/>
    <x v="2"/>
    <n v="1441"/>
    <n v="268"/>
    <n v="309904"/>
    <n v="6.37"/>
    <n v="3455"/>
  </r>
  <r>
    <x v="26"/>
    <x v="3"/>
    <n v="452"/>
    <n v="161"/>
    <n v="221274"/>
    <n v="2.65"/>
    <n v="40888"/>
  </r>
  <r>
    <x v="27"/>
    <x v="0"/>
    <n v="1494"/>
    <n v="375"/>
    <n v="220616"/>
    <n v="1.81"/>
    <n v="22724"/>
  </r>
  <r>
    <x v="27"/>
    <x v="1"/>
    <n v="1514"/>
    <n v="141"/>
    <n v="35842"/>
    <n v="7.47"/>
    <n v="18601"/>
  </r>
  <r>
    <x v="27"/>
    <x v="2"/>
    <n v="1937"/>
    <n v="210"/>
    <n v="20607"/>
    <n v="4.2"/>
    <n v="20861"/>
  </r>
  <r>
    <x v="27"/>
    <x v="3"/>
    <n v="736"/>
    <n v="163"/>
    <n v="451894"/>
    <n v="5.43"/>
    <n v="46625"/>
  </r>
  <r>
    <x v="28"/>
    <x v="0"/>
    <n v="1502"/>
    <n v="70"/>
    <n v="465553"/>
    <n v="3.32"/>
    <n v="20692"/>
  </r>
  <r>
    <x v="28"/>
    <x v="1"/>
    <n v="1623"/>
    <n v="246"/>
    <n v="415815"/>
    <n v="8.11"/>
    <n v="18656"/>
  </r>
  <r>
    <x v="28"/>
    <x v="2"/>
    <n v="1592"/>
    <n v="233"/>
    <n v="327183"/>
    <n v="6.66"/>
    <n v="13316"/>
  </r>
  <r>
    <x v="28"/>
    <x v="3"/>
    <n v="1004"/>
    <n v="128"/>
    <n v="488901"/>
    <n v="8.09"/>
    <n v="49558"/>
  </r>
  <r>
    <x v="29"/>
    <x v="0"/>
    <n v="1092"/>
    <n v="408"/>
    <n v="280795"/>
    <n v="8.44"/>
    <n v="4683"/>
  </r>
  <r>
    <x v="29"/>
    <x v="1"/>
    <n v="1155"/>
    <n v="425"/>
    <n v="93347"/>
    <n v="2.02"/>
    <n v="47502"/>
  </r>
  <r>
    <x v="29"/>
    <x v="2"/>
    <n v="1137"/>
    <n v="226"/>
    <n v="81119"/>
    <n v="7.74"/>
    <n v="35359"/>
  </r>
  <r>
    <x v="29"/>
    <x v="3"/>
    <n v="1900"/>
    <n v="311"/>
    <n v="25177"/>
    <n v="2.89"/>
    <n v="14154"/>
  </r>
  <r>
    <x v="30"/>
    <x v="0"/>
    <n v="1814"/>
    <n v="49"/>
    <n v="140804"/>
    <n v="1.76"/>
    <n v="4313"/>
  </r>
  <r>
    <x v="30"/>
    <x v="1"/>
    <n v="1980"/>
    <n v="204"/>
    <n v="379431"/>
    <n v="3.09"/>
    <n v="25140"/>
  </r>
  <r>
    <x v="30"/>
    <x v="2"/>
    <n v="1786"/>
    <n v="257"/>
    <n v="274831"/>
    <n v="4.68"/>
    <n v="9118"/>
  </r>
  <r>
    <x v="30"/>
    <x v="3"/>
    <n v="1495"/>
    <n v="35"/>
    <n v="136845"/>
    <n v="4.4800000000000004"/>
    <n v="39931"/>
  </r>
  <r>
    <x v="31"/>
    <x v="0"/>
    <n v="1013"/>
    <n v="110"/>
    <n v="466382"/>
    <n v="5.3"/>
    <n v="37132"/>
  </r>
  <r>
    <x v="31"/>
    <x v="1"/>
    <n v="816"/>
    <n v="196"/>
    <n v="95728"/>
    <n v="8.1999999999999993"/>
    <n v="17951"/>
  </r>
  <r>
    <x v="31"/>
    <x v="2"/>
    <n v="1633"/>
    <n v="445"/>
    <n v="371156"/>
    <n v="2.2200000000000002"/>
    <n v="2798"/>
  </r>
  <r>
    <x v="31"/>
    <x v="3"/>
    <n v="891"/>
    <n v="45"/>
    <n v="95410"/>
    <n v="8.33"/>
    <n v="15045"/>
  </r>
  <r>
    <x v="32"/>
    <x v="0"/>
    <n v="1855"/>
    <n v="133"/>
    <n v="349413"/>
    <n v="3.3"/>
    <n v="14548"/>
  </r>
  <r>
    <x v="32"/>
    <x v="1"/>
    <n v="651"/>
    <n v="353"/>
    <n v="224699"/>
    <n v="5.61"/>
    <n v="45708"/>
  </r>
  <r>
    <x v="32"/>
    <x v="2"/>
    <n v="118"/>
    <n v="262"/>
    <n v="487896"/>
    <n v="2.56"/>
    <n v="12350"/>
  </r>
  <r>
    <x v="32"/>
    <x v="3"/>
    <n v="1331"/>
    <n v="430"/>
    <n v="14437"/>
    <n v="3.29"/>
    <n v="40868"/>
  </r>
  <r>
    <x v="33"/>
    <x v="0"/>
    <n v="1748"/>
    <n v="176"/>
    <n v="383681"/>
    <n v="9.24"/>
    <n v="43122"/>
  </r>
  <r>
    <x v="33"/>
    <x v="1"/>
    <n v="663"/>
    <n v="236"/>
    <n v="479490"/>
    <n v="4.51"/>
    <n v="23853"/>
  </r>
  <r>
    <x v="33"/>
    <x v="2"/>
    <n v="1040"/>
    <n v="149"/>
    <n v="124404"/>
    <n v="5.23"/>
    <n v="45380"/>
  </r>
  <r>
    <x v="33"/>
    <x v="3"/>
    <n v="1166"/>
    <n v="442"/>
    <n v="336949"/>
    <n v="4.68"/>
    <n v="7705"/>
  </r>
  <r>
    <x v="34"/>
    <x v="0"/>
    <n v="115"/>
    <n v="281"/>
    <n v="357265"/>
    <n v="9.23"/>
    <n v="25525"/>
  </r>
  <r>
    <x v="34"/>
    <x v="1"/>
    <n v="1249"/>
    <n v="351"/>
    <n v="321307"/>
    <n v="6.37"/>
    <n v="20560"/>
  </r>
  <r>
    <x v="34"/>
    <x v="2"/>
    <n v="1501"/>
    <n v="75"/>
    <n v="262569"/>
    <n v="2.0099999999999998"/>
    <n v="19119"/>
  </r>
  <r>
    <x v="34"/>
    <x v="3"/>
    <n v="1411"/>
    <n v="186"/>
    <n v="461669"/>
    <n v="3.72"/>
    <n v="43999"/>
  </r>
  <r>
    <x v="35"/>
    <x v="0"/>
    <n v="1556"/>
    <n v="476"/>
    <n v="351556"/>
    <n v="3.89"/>
    <n v="10825"/>
  </r>
  <r>
    <x v="35"/>
    <x v="1"/>
    <n v="1159"/>
    <n v="411"/>
    <n v="135987"/>
    <n v="8.6999999999999993"/>
    <n v="40323"/>
  </r>
  <r>
    <x v="35"/>
    <x v="2"/>
    <n v="927"/>
    <n v="358"/>
    <n v="177554"/>
    <n v="6.95"/>
    <n v="48270"/>
  </r>
  <r>
    <x v="35"/>
    <x v="3"/>
    <n v="152"/>
    <n v="355"/>
    <n v="270766"/>
    <n v="9.48"/>
    <n v="18001"/>
  </r>
  <r>
    <x v="36"/>
    <x v="0"/>
    <n v="1957"/>
    <n v="234"/>
    <n v="222126"/>
    <n v="4.6100000000000003"/>
    <n v="3314"/>
  </r>
  <r>
    <x v="36"/>
    <x v="1"/>
    <n v="1294"/>
    <n v="382"/>
    <n v="309914"/>
    <n v="8.0299999999999994"/>
    <n v="23489"/>
  </r>
  <r>
    <x v="36"/>
    <x v="2"/>
    <n v="1587"/>
    <n v="385"/>
    <n v="126582"/>
    <n v="6.99"/>
    <n v="42832"/>
  </r>
  <r>
    <x v="36"/>
    <x v="3"/>
    <n v="1707"/>
    <n v="263"/>
    <n v="485280"/>
    <n v="9.0299999999999994"/>
    <n v="24494"/>
  </r>
  <r>
    <x v="37"/>
    <x v="0"/>
    <n v="1138"/>
    <n v="173"/>
    <n v="453243"/>
    <n v="2.86"/>
    <n v="44097"/>
  </r>
  <r>
    <x v="37"/>
    <x v="1"/>
    <n v="1895"/>
    <n v="305"/>
    <n v="104967"/>
    <n v="3.85"/>
    <n v="31853"/>
  </r>
  <r>
    <x v="37"/>
    <x v="2"/>
    <n v="362"/>
    <n v="399"/>
    <n v="145608"/>
    <n v="7.3"/>
    <n v="37636"/>
  </r>
  <r>
    <x v="37"/>
    <x v="3"/>
    <n v="1662"/>
    <n v="487"/>
    <n v="105980"/>
    <n v="9.08"/>
    <n v="22996"/>
  </r>
  <r>
    <x v="38"/>
    <x v="0"/>
    <n v="1440"/>
    <n v="65"/>
    <n v="126524"/>
    <n v="4.34"/>
    <n v="49772"/>
  </r>
  <r>
    <x v="38"/>
    <x v="1"/>
    <n v="1884"/>
    <n v="177"/>
    <n v="230448"/>
    <n v="7.8"/>
    <n v="22713"/>
  </r>
  <r>
    <x v="38"/>
    <x v="2"/>
    <n v="861"/>
    <n v="153"/>
    <n v="317007"/>
    <n v="3.85"/>
    <n v="8718"/>
  </r>
  <r>
    <x v="38"/>
    <x v="3"/>
    <n v="1063"/>
    <n v="47"/>
    <n v="464239"/>
    <n v="6.58"/>
    <n v="39031"/>
  </r>
  <r>
    <x v="39"/>
    <x v="0"/>
    <n v="1371"/>
    <n v="56"/>
    <n v="257579"/>
    <n v="8.6199999999999992"/>
    <n v="33799"/>
  </r>
  <r>
    <x v="39"/>
    <x v="1"/>
    <n v="345"/>
    <n v="464"/>
    <n v="366881"/>
    <n v="4.55"/>
    <n v="20553"/>
  </r>
  <r>
    <x v="39"/>
    <x v="2"/>
    <n v="946"/>
    <n v="47"/>
    <n v="466575"/>
    <n v="8.33"/>
    <n v="10002"/>
  </r>
  <r>
    <x v="39"/>
    <x v="3"/>
    <n v="510"/>
    <n v="195"/>
    <n v="224534"/>
    <n v="9.4"/>
    <n v="30987"/>
  </r>
  <r>
    <x v="40"/>
    <x v="0"/>
    <n v="393"/>
    <n v="181"/>
    <n v="462142"/>
    <n v="7.23"/>
    <n v="6296"/>
  </r>
  <r>
    <x v="40"/>
    <x v="1"/>
    <n v="1098"/>
    <n v="190"/>
    <n v="340842"/>
    <n v="9.39"/>
    <n v="21539"/>
  </r>
  <r>
    <x v="40"/>
    <x v="2"/>
    <n v="1399"/>
    <n v="49"/>
    <n v="12471"/>
    <n v="5.12"/>
    <n v="14722"/>
  </r>
  <r>
    <x v="40"/>
    <x v="3"/>
    <n v="1658"/>
    <n v="416"/>
    <n v="98397"/>
    <n v="6.11"/>
    <n v="11383"/>
  </r>
  <r>
    <x v="41"/>
    <x v="0"/>
    <n v="1102"/>
    <n v="422"/>
    <n v="410330"/>
    <n v="7.74"/>
    <n v="9480"/>
  </r>
  <r>
    <x v="41"/>
    <x v="1"/>
    <n v="1358"/>
    <n v="242"/>
    <n v="342129"/>
    <n v="4.9400000000000004"/>
    <n v="29116"/>
  </r>
  <r>
    <x v="41"/>
    <x v="2"/>
    <n v="1077"/>
    <n v="216"/>
    <n v="12447"/>
    <n v="1.8"/>
    <n v="14068"/>
  </r>
  <r>
    <x v="41"/>
    <x v="3"/>
    <n v="1596"/>
    <n v="211"/>
    <n v="17380"/>
    <n v="8.64"/>
    <n v="35801"/>
  </r>
  <r>
    <x v="42"/>
    <x v="0"/>
    <n v="490"/>
    <n v="29"/>
    <n v="364810"/>
    <n v="1.53"/>
    <n v="49077"/>
  </r>
  <r>
    <x v="42"/>
    <x v="1"/>
    <n v="609"/>
    <n v="135"/>
    <n v="373606"/>
    <n v="8.52"/>
    <n v="21453"/>
  </r>
  <r>
    <x v="42"/>
    <x v="2"/>
    <n v="364"/>
    <n v="72"/>
    <n v="211090"/>
    <n v="5.53"/>
    <n v="21061"/>
  </r>
  <r>
    <x v="42"/>
    <x v="3"/>
    <n v="442"/>
    <n v="53"/>
    <n v="441931"/>
    <n v="1.87"/>
    <n v="20059"/>
  </r>
  <r>
    <x v="43"/>
    <x v="0"/>
    <n v="1033"/>
    <n v="392"/>
    <n v="282780"/>
    <n v="6.27"/>
    <n v="23140"/>
  </r>
  <r>
    <x v="43"/>
    <x v="1"/>
    <n v="988"/>
    <n v="474"/>
    <n v="370070"/>
    <n v="9.4600000000000009"/>
    <n v="23461"/>
  </r>
  <r>
    <x v="43"/>
    <x v="2"/>
    <n v="1946"/>
    <n v="270"/>
    <n v="198350"/>
    <n v="7.5"/>
    <n v="11805"/>
  </r>
  <r>
    <x v="43"/>
    <x v="3"/>
    <n v="1957"/>
    <n v="490"/>
    <n v="435726"/>
    <n v="4.7300000000000004"/>
    <n v="15969"/>
  </r>
  <r>
    <x v="44"/>
    <x v="0"/>
    <n v="559"/>
    <n v="392"/>
    <n v="78789"/>
    <n v="3.19"/>
    <n v="2436"/>
  </r>
  <r>
    <x v="44"/>
    <x v="1"/>
    <n v="1307"/>
    <n v="278"/>
    <n v="98596"/>
    <n v="2.4900000000000002"/>
    <n v="47603"/>
  </r>
  <r>
    <x v="44"/>
    <x v="2"/>
    <n v="1432"/>
    <n v="425"/>
    <n v="29589"/>
    <n v="4.5"/>
    <n v="42964"/>
  </r>
  <r>
    <x v="44"/>
    <x v="3"/>
    <n v="623"/>
    <n v="414"/>
    <n v="290354"/>
    <n v="6.49"/>
    <n v="39923"/>
  </r>
  <r>
    <x v="45"/>
    <x v="0"/>
    <n v="198"/>
    <n v="358"/>
    <n v="66682"/>
    <n v="6.73"/>
    <n v="2293"/>
  </r>
  <r>
    <x v="45"/>
    <x v="1"/>
    <n v="198"/>
    <n v="373"/>
    <n v="70707"/>
    <n v="4.83"/>
    <n v="25920"/>
  </r>
  <r>
    <x v="45"/>
    <x v="2"/>
    <n v="353"/>
    <n v="300"/>
    <n v="142507"/>
    <n v="5.3"/>
    <n v="11035"/>
  </r>
  <r>
    <x v="45"/>
    <x v="3"/>
    <n v="520"/>
    <n v="375"/>
    <n v="369525"/>
    <n v="6.54"/>
    <n v="20733"/>
  </r>
  <r>
    <x v="46"/>
    <x v="0"/>
    <n v="961"/>
    <n v="358"/>
    <n v="62942"/>
    <n v="6.8"/>
    <n v="18693"/>
  </r>
  <r>
    <x v="46"/>
    <x v="1"/>
    <n v="1375"/>
    <n v="330"/>
    <n v="377382"/>
    <n v="2.6"/>
    <n v="7875"/>
  </r>
  <r>
    <x v="46"/>
    <x v="2"/>
    <n v="1147"/>
    <n v="388"/>
    <n v="333851"/>
    <n v="2.44"/>
    <n v="8471"/>
  </r>
  <r>
    <x v="46"/>
    <x v="3"/>
    <n v="1707"/>
    <n v="74"/>
    <n v="270958"/>
    <n v="3.09"/>
    <n v="14090"/>
  </r>
  <r>
    <x v="47"/>
    <x v="0"/>
    <n v="1693"/>
    <n v="154"/>
    <n v="445944"/>
    <n v="5.69"/>
    <n v="14216"/>
  </r>
  <r>
    <x v="47"/>
    <x v="1"/>
    <n v="833"/>
    <n v="380"/>
    <n v="224830"/>
    <n v="3.86"/>
    <n v="3582"/>
  </r>
  <r>
    <x v="47"/>
    <x v="2"/>
    <n v="1222"/>
    <n v="274"/>
    <n v="487289"/>
    <n v="3.16"/>
    <n v="32500"/>
  </r>
  <r>
    <x v="47"/>
    <x v="3"/>
    <n v="777"/>
    <n v="140"/>
    <n v="11435"/>
    <n v="1.6"/>
    <n v="6832"/>
  </r>
  <r>
    <x v="48"/>
    <x v="0"/>
    <n v="1957"/>
    <n v="76"/>
    <n v="447902"/>
    <n v="6.09"/>
    <n v="33381"/>
  </r>
  <r>
    <x v="48"/>
    <x v="1"/>
    <n v="405"/>
    <n v="66"/>
    <n v="418696"/>
    <n v="5.59"/>
    <n v="48419"/>
  </r>
  <r>
    <x v="48"/>
    <x v="2"/>
    <n v="1581"/>
    <n v="71"/>
    <n v="484364"/>
    <n v="3.55"/>
    <n v="16149"/>
  </r>
  <r>
    <x v="48"/>
    <x v="3"/>
    <n v="1035"/>
    <n v="171"/>
    <n v="148477"/>
    <n v="5.21"/>
    <n v="7541"/>
  </r>
  <r>
    <x v="49"/>
    <x v="0"/>
    <n v="1765"/>
    <n v="109"/>
    <n v="468301"/>
    <n v="1.82"/>
    <n v="20042"/>
  </r>
  <r>
    <x v="49"/>
    <x v="1"/>
    <n v="837"/>
    <n v="430"/>
    <n v="364820"/>
    <n v="4"/>
    <n v="49400"/>
  </r>
  <r>
    <x v="49"/>
    <x v="2"/>
    <n v="337"/>
    <n v="68"/>
    <n v="456298"/>
    <n v="7.57"/>
    <n v="4007"/>
  </r>
  <r>
    <x v="49"/>
    <x v="3"/>
    <n v="119"/>
    <n v="456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DD511-977E-4D05-97E2-2949C8ADD1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P12" firstHeaderRow="1" firstDataRow="3" firstDataCol="1"/>
  <pivotFields count="14"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3" baseItem="0" numFmtId="3"/>
    <dataField name="Sum of Shares" fld="6" baseField="0" baseItem="0" numFmtId="3"/>
    <dataField name="Sum of Comments" fld="7" baseField="0" baseItem="0" numFmtId="3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68230-0F16-450D-9BA7-ABED0DB40A7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4"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showAll="0">
      <items count="4">
        <item x="1"/>
        <item x="2"/>
        <item x="0"/>
        <item t="default"/>
      </items>
    </pivotField>
    <pivotField showAll="0">
      <items count="7">
        <item x="4"/>
        <item x="2"/>
        <item x="3"/>
        <item x="5"/>
        <item x="1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icks" fld="10" subtotal="average" baseField="11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85E65-40CB-4A1B-8535-EEA44C959776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:F67" firstHeaderRow="1" firstDataRow="2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Total_Followers" fld="4" subtotal="max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54128-6B32-4B77-AD67-94A0E7A90113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4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 Rat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7AB1F-213B-4F76-9066-D4DF745B782B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71:C76" firstHeaderRow="0" firstDataRow="1" firstDataCol="1"/>
  <pivotFields count="7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_Rate" fld="5" baseField="0" baseItem="0"/>
    <dataField name="Sum of Ad_Spend" fld="6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54EC2-6C84-4D4B-A292-B7DBD3D1310B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0:F48" firstHeaderRow="1" firstDataRow="2" firstDataCol="1"/>
  <pivotFields count="14"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Engagement Rate" fld="13" baseField="0" baseItem="0"/>
  </dataFields>
  <chartFormats count="2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5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4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5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4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5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3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4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FB2B7-4104-4115-A9E4-5AF048FF3E9E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B24" firstHeaderRow="1" firstDataRow="1" firstDataCol="1"/>
  <pivotFields count="14"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gagement Rate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E4F9-D5ED-4BEA-BF1E-81CC280A70B1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6" firstHeaderRow="1" firstDataRow="1" firstDataCol="1"/>
  <pivotFields count="14">
    <pivotField dataField="1"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showAll="0" sortType="descending">
      <items count="4">
        <item x="0"/>
        <item x="2"/>
        <item x="1"/>
        <item t="default"/>
      </items>
    </pivotField>
    <pivotField showAll="0">
      <items count="7">
        <item x="4"/>
        <item x="2"/>
        <item x="3"/>
        <item x="5"/>
        <item x="1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s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37BA9-CDE5-4D60-A4EC-3E74A2EA9F6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:F54" firstHeaderRow="1" firstDataRow="2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93E0A-BAA1-4509-9687-8AA87797A066}" name="Table1" displayName="Table1" ref="A1:N301" totalsRowShown="0" headerRowDxfId="0" dataDxfId="1">
  <tableColumns count="14">
    <tableColumn id="1" xr3:uid="{4921FEE6-826E-47B2-B629-B7FD02C66C50}" name="Post ID" dataDxfId="14"/>
    <tableColumn id="2" xr3:uid="{20ADFC69-45BB-433A-B358-378AEAB79B1A}" name="Clean Platform " dataDxfId="13"/>
    <tableColumn id="3" xr3:uid="{1ECCD7F8-03C7-4792-92A8-3B2C34A2CBF0}" name="Date" dataDxfId="12"/>
    <tableColumn id="4" xr3:uid="{134915FC-F62A-4F2C-B13C-532642093CE2}" name="Content Type" dataDxfId="11"/>
    <tableColumn id="5" xr3:uid="{0109BA8F-8BBC-4D5B-8E72-08163B973912}" name="Post Text" dataDxfId="10"/>
    <tableColumn id="6" xr3:uid="{03419948-D185-4034-BA45-D028AFFF315E}" name="Likes" dataDxfId="9"/>
    <tableColumn id="7" xr3:uid="{7B73EAB6-03A8-4F14-B94F-2F64C37EA252}" name="Shares" dataDxfId="8"/>
    <tableColumn id="8" xr3:uid="{2CB8053C-9E2E-4CE0-ADA7-C218BC6DA9D9}" name="Comments" dataDxfId="7"/>
    <tableColumn id="9" xr3:uid="{F6F9861D-BF52-44FB-ABC0-D931B03EE256}" name="Impressions" dataDxfId="6"/>
    <tableColumn id="10" xr3:uid="{33A20167-4326-4A50-B6BF-476590ED608E}" name="Reach" dataDxfId="5"/>
    <tableColumn id="11" xr3:uid="{97C503D4-2125-4A67-BE9C-8766B30B889E}" name="Clicks" dataDxfId="4"/>
    <tableColumn id="12" xr3:uid="{A239C0B3-06DF-4F12-914C-4A393079C669}" name="Hashtags Used" dataDxfId="3"/>
    <tableColumn id="13" xr3:uid="{C83C7EE6-ED58-49DA-B956-09A1A4ED7874}" name="Hashtags used2" dataDxfId="2"/>
    <tableColumn id="14" xr3:uid="{61A7CCF2-690A-4E98-A0AB-AF4792A2A482}" name="Engagement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91DE-A140-4868-B7C4-5690164A68B8}">
  <dimension ref="A3:P12"/>
  <sheetViews>
    <sheetView topLeftCell="A5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3" spans="1:16" x14ac:dyDescent="0.3">
      <c r="B3" s="7" t="s">
        <v>605</v>
      </c>
    </row>
    <row r="4" spans="1:16" x14ac:dyDescent="0.3">
      <c r="B4" t="s">
        <v>41</v>
      </c>
      <c r="E4" t="s">
        <v>31</v>
      </c>
      <c r="H4" t="s">
        <v>14</v>
      </c>
      <c r="K4" t="s">
        <v>599</v>
      </c>
      <c r="N4" t="s">
        <v>607</v>
      </c>
      <c r="O4" t="s">
        <v>608</v>
      </c>
      <c r="P4" t="s">
        <v>610</v>
      </c>
    </row>
    <row r="5" spans="1:16" x14ac:dyDescent="0.3">
      <c r="A5" s="7" t="s">
        <v>603</v>
      </c>
      <c r="B5" t="s">
        <v>606</v>
      </c>
      <c r="C5" t="s">
        <v>609</v>
      </c>
      <c r="D5" t="s">
        <v>611</v>
      </c>
      <c r="E5" t="s">
        <v>606</v>
      </c>
      <c r="F5" t="s">
        <v>609</v>
      </c>
      <c r="G5" t="s">
        <v>611</v>
      </c>
      <c r="H5" t="s">
        <v>606</v>
      </c>
      <c r="I5" t="s">
        <v>609</v>
      </c>
      <c r="J5" t="s">
        <v>611</v>
      </c>
      <c r="K5" t="s">
        <v>606</v>
      </c>
      <c r="L5" t="s">
        <v>609</v>
      </c>
      <c r="M5" t="s">
        <v>611</v>
      </c>
    </row>
    <row r="6" spans="1:16" x14ac:dyDescent="0.3">
      <c r="A6" s="8" t="s">
        <v>43</v>
      </c>
      <c r="B6" s="5">
        <v>44476</v>
      </c>
      <c r="C6" s="5">
        <v>7400</v>
      </c>
      <c r="D6" s="5">
        <v>4589</v>
      </c>
      <c r="E6" s="5">
        <v>43948</v>
      </c>
      <c r="F6" s="5">
        <v>6975</v>
      </c>
      <c r="G6" s="5">
        <v>3890</v>
      </c>
      <c r="H6" s="5">
        <v>48649</v>
      </c>
      <c r="I6" s="5">
        <v>5791</v>
      </c>
      <c r="J6" s="5">
        <v>3607</v>
      </c>
      <c r="K6" s="5">
        <v>24926</v>
      </c>
      <c r="L6" s="5">
        <v>6305</v>
      </c>
      <c r="M6" s="5">
        <v>2422</v>
      </c>
      <c r="N6" s="5">
        <v>161999</v>
      </c>
      <c r="O6" s="5">
        <v>26471</v>
      </c>
      <c r="P6" s="5">
        <v>14508</v>
      </c>
    </row>
    <row r="7" spans="1:16" x14ac:dyDescent="0.3">
      <c r="A7" s="8" t="s">
        <v>50</v>
      </c>
      <c r="B7" s="5">
        <v>71602</v>
      </c>
      <c r="C7" s="5">
        <v>12904</v>
      </c>
      <c r="D7" s="5">
        <v>6495</v>
      </c>
      <c r="E7" s="5">
        <v>34202</v>
      </c>
      <c r="F7" s="5">
        <v>5286</v>
      </c>
      <c r="G7" s="5">
        <v>2655</v>
      </c>
      <c r="H7" s="5">
        <v>43761</v>
      </c>
      <c r="I7" s="5">
        <v>7110</v>
      </c>
      <c r="J7" s="5">
        <v>5125</v>
      </c>
      <c r="K7" s="5">
        <v>23903</v>
      </c>
      <c r="L7" s="5">
        <v>4310</v>
      </c>
      <c r="M7" s="5">
        <v>2077</v>
      </c>
      <c r="N7" s="5">
        <v>173468</v>
      </c>
      <c r="O7" s="5">
        <v>29610</v>
      </c>
      <c r="P7" s="5">
        <v>16352</v>
      </c>
    </row>
    <row r="8" spans="1:16" x14ac:dyDescent="0.3">
      <c r="A8" s="8" t="s">
        <v>16</v>
      </c>
      <c r="B8" s="5">
        <v>36368</v>
      </c>
      <c r="C8" s="5">
        <v>5964</v>
      </c>
      <c r="D8" s="5">
        <v>3353</v>
      </c>
      <c r="E8" s="5">
        <v>32148</v>
      </c>
      <c r="F8" s="5">
        <v>8110</v>
      </c>
      <c r="G8" s="5">
        <v>3386</v>
      </c>
      <c r="H8" s="5">
        <v>27029</v>
      </c>
      <c r="I8" s="5">
        <v>4550</v>
      </c>
      <c r="J8" s="5">
        <v>1913</v>
      </c>
      <c r="K8" s="5">
        <v>32400</v>
      </c>
      <c r="L8" s="5">
        <v>4577</v>
      </c>
      <c r="M8" s="5">
        <v>2668</v>
      </c>
      <c r="N8" s="5">
        <v>127945</v>
      </c>
      <c r="O8" s="5">
        <v>23201</v>
      </c>
      <c r="P8" s="5">
        <v>11320</v>
      </c>
    </row>
    <row r="9" spans="1:16" x14ac:dyDescent="0.3">
      <c r="A9" s="8" t="s">
        <v>33</v>
      </c>
      <c r="B9" s="5">
        <v>29405</v>
      </c>
      <c r="C9" s="5">
        <v>4950</v>
      </c>
      <c r="D9" s="5">
        <v>3223</v>
      </c>
      <c r="E9" s="5">
        <v>42649</v>
      </c>
      <c r="F9" s="5">
        <v>10049</v>
      </c>
      <c r="G9" s="5">
        <v>3846</v>
      </c>
      <c r="H9" s="5">
        <v>20466</v>
      </c>
      <c r="I9" s="5">
        <v>5090</v>
      </c>
      <c r="J9" s="5">
        <v>3026</v>
      </c>
      <c r="K9" s="5">
        <v>31968</v>
      </c>
      <c r="L9" s="5">
        <v>3866</v>
      </c>
      <c r="M9" s="5">
        <v>2012</v>
      </c>
      <c r="N9" s="5">
        <v>124488</v>
      </c>
      <c r="O9" s="5">
        <v>23955</v>
      </c>
      <c r="P9" s="5">
        <v>12107</v>
      </c>
    </row>
    <row r="10" spans="1:16" x14ac:dyDescent="0.3">
      <c r="A10" s="8" t="s">
        <v>21</v>
      </c>
      <c r="B10" s="5">
        <v>31963</v>
      </c>
      <c r="C10" s="5">
        <v>4792</v>
      </c>
      <c r="D10" s="5">
        <v>3377</v>
      </c>
      <c r="E10" s="5">
        <v>25567</v>
      </c>
      <c r="F10" s="5">
        <v>5112</v>
      </c>
      <c r="G10" s="5">
        <v>1946</v>
      </c>
      <c r="H10" s="5">
        <v>31899</v>
      </c>
      <c r="I10" s="5">
        <v>4861</v>
      </c>
      <c r="J10" s="5">
        <v>3910</v>
      </c>
      <c r="K10" s="5">
        <v>27067</v>
      </c>
      <c r="L10" s="5">
        <v>3928</v>
      </c>
      <c r="M10" s="5">
        <v>1052</v>
      </c>
      <c r="N10" s="5">
        <v>116496</v>
      </c>
      <c r="O10" s="5">
        <v>18693</v>
      </c>
      <c r="P10" s="5">
        <v>10285</v>
      </c>
    </row>
    <row r="11" spans="1:16" x14ac:dyDescent="0.3">
      <c r="A11" s="8" t="s">
        <v>72</v>
      </c>
      <c r="B11" s="5">
        <v>28947</v>
      </c>
      <c r="C11" s="5">
        <v>3171</v>
      </c>
      <c r="D11" s="5">
        <v>2263</v>
      </c>
      <c r="E11" s="5">
        <v>25770</v>
      </c>
      <c r="F11" s="5">
        <v>5912</v>
      </c>
      <c r="G11" s="5">
        <v>2128</v>
      </c>
      <c r="H11" s="5">
        <v>29593</v>
      </c>
      <c r="I11" s="5">
        <v>6326</v>
      </c>
      <c r="J11" s="5">
        <v>3299</v>
      </c>
      <c r="K11" s="5">
        <v>31285</v>
      </c>
      <c r="L11" s="5">
        <v>5586</v>
      </c>
      <c r="M11" s="5">
        <v>2589</v>
      </c>
      <c r="N11" s="5">
        <v>115595</v>
      </c>
      <c r="O11" s="5">
        <v>20995</v>
      </c>
      <c r="P11" s="5">
        <v>10279</v>
      </c>
    </row>
    <row r="12" spans="1:16" x14ac:dyDescent="0.3">
      <c r="A12" s="8" t="s">
        <v>604</v>
      </c>
      <c r="B12" s="5">
        <v>242761</v>
      </c>
      <c r="C12" s="5">
        <v>39181</v>
      </c>
      <c r="D12" s="5">
        <v>23300</v>
      </c>
      <c r="E12" s="5">
        <v>204284</v>
      </c>
      <c r="F12" s="5">
        <v>41444</v>
      </c>
      <c r="G12" s="5">
        <v>17851</v>
      </c>
      <c r="H12" s="5">
        <v>201397</v>
      </c>
      <c r="I12" s="5">
        <v>33728</v>
      </c>
      <c r="J12" s="5">
        <v>20880</v>
      </c>
      <c r="K12" s="5">
        <v>171549</v>
      </c>
      <c r="L12" s="5">
        <v>28572</v>
      </c>
      <c r="M12" s="5">
        <v>12820</v>
      </c>
      <c r="N12" s="5">
        <v>819991</v>
      </c>
      <c r="O12" s="5">
        <v>142925</v>
      </c>
      <c r="P12" s="5">
        <v>74851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3AC6-C755-4A85-A07A-79AD49C65175}">
  <dimension ref="A3:B7"/>
  <sheetViews>
    <sheetView workbookViewId="0">
      <selection activeCell="A3" sqref="A3"/>
    </sheetView>
  </sheetViews>
  <sheetFormatPr defaultRowHeight="14.4" x14ac:dyDescent="0.3"/>
  <cols>
    <col min="1" max="1" width="17.44140625" bestFit="1" customWidth="1"/>
    <col min="2" max="2" width="15.33203125" bestFit="1" customWidth="1"/>
  </cols>
  <sheetData>
    <row r="3" spans="1:2" x14ac:dyDescent="0.3">
      <c r="A3" s="7" t="s">
        <v>603</v>
      </c>
      <c r="B3" t="s">
        <v>612</v>
      </c>
    </row>
    <row r="4" spans="1:2" x14ac:dyDescent="0.3">
      <c r="A4" s="8" t="s">
        <v>35</v>
      </c>
      <c r="B4" s="5">
        <v>152.86597938144331</v>
      </c>
    </row>
    <row r="5" spans="1:2" x14ac:dyDescent="0.3">
      <c r="A5" s="8" t="s">
        <v>60</v>
      </c>
      <c r="B5" s="5">
        <v>144.03883495145632</v>
      </c>
    </row>
    <row r="6" spans="1:2" x14ac:dyDescent="0.3">
      <c r="A6" s="8" t="s">
        <v>28</v>
      </c>
      <c r="B6" s="5">
        <v>157.02000000000001</v>
      </c>
    </row>
    <row r="7" spans="1:2" x14ac:dyDescent="0.3">
      <c r="A7" s="8" t="s">
        <v>604</v>
      </c>
      <c r="B7" s="5">
        <v>151.22</v>
      </c>
    </row>
  </sheetData>
  <conditionalFormatting sqref="B1:B3 B24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7056-266F-4C55-905A-7EB67C706BCF}">
  <dimension ref="A1:F76"/>
  <sheetViews>
    <sheetView topLeftCell="A57" workbookViewId="0">
      <selection activeCell="M99" sqref="M99"/>
    </sheetView>
  </sheetViews>
  <sheetFormatPr defaultRowHeight="14.4" x14ac:dyDescent="0.3"/>
  <cols>
    <col min="1" max="1" width="12.5546875" bestFit="1" customWidth="1"/>
    <col min="2" max="2" width="23.109375" bestFit="1" customWidth="1"/>
    <col min="3" max="3" width="16.21875" bestFit="1" customWidth="1"/>
    <col min="4" max="4" width="7" bestFit="1" customWidth="1"/>
    <col min="5" max="5" width="8.44140625" bestFit="1" customWidth="1"/>
    <col min="6" max="6" width="10.77734375" bestFit="1" customWidth="1"/>
  </cols>
  <sheetData>
    <row r="1" spans="1:6" x14ac:dyDescent="0.3">
      <c r="A1" s="7" t="s">
        <v>603</v>
      </c>
      <c r="B1" t="s">
        <v>613</v>
      </c>
    </row>
    <row r="2" spans="1:6" x14ac:dyDescent="0.3">
      <c r="A2" s="8" t="s">
        <v>41</v>
      </c>
      <c r="B2">
        <v>88.586848108399209</v>
      </c>
    </row>
    <row r="3" spans="1:6" x14ac:dyDescent="0.3">
      <c r="A3" s="8" t="s">
        <v>31</v>
      </c>
      <c r="B3">
        <v>287.25032245205034</v>
      </c>
    </row>
    <row r="4" spans="1:6" x14ac:dyDescent="0.3">
      <c r="A4" s="8" t="s">
        <v>14</v>
      </c>
      <c r="B4">
        <v>287.2291402486195</v>
      </c>
    </row>
    <row r="5" spans="1:6" x14ac:dyDescent="0.3">
      <c r="A5" s="8" t="s">
        <v>599</v>
      </c>
      <c r="B5">
        <v>66.15586789420496</v>
      </c>
    </row>
    <row r="6" spans="1:6" x14ac:dyDescent="0.3">
      <c r="A6" s="8" t="s">
        <v>604</v>
      </c>
      <c r="B6">
        <v>729.22217870327404</v>
      </c>
    </row>
    <row r="15" spans="1:6" x14ac:dyDescent="0.3">
      <c r="A15" s="7" t="s">
        <v>614</v>
      </c>
      <c r="B15" s="7" t="s">
        <v>605</v>
      </c>
    </row>
    <row r="16" spans="1:6" x14ac:dyDescent="0.3">
      <c r="A16" s="7" t="s">
        <v>603</v>
      </c>
      <c r="B16" t="s">
        <v>41</v>
      </c>
      <c r="C16" t="s">
        <v>31</v>
      </c>
      <c r="D16" t="s">
        <v>14</v>
      </c>
      <c r="E16" t="s">
        <v>25</v>
      </c>
      <c r="F16" t="s">
        <v>604</v>
      </c>
    </row>
    <row r="17" spans="1:6" x14ac:dyDescent="0.3">
      <c r="A17" s="8" t="s">
        <v>226</v>
      </c>
      <c r="B17">
        <v>42654</v>
      </c>
      <c r="C17">
        <v>344084</v>
      </c>
      <c r="D17">
        <v>146834</v>
      </c>
      <c r="E17">
        <v>395536</v>
      </c>
      <c r="F17">
        <v>395536</v>
      </c>
    </row>
    <row r="18" spans="1:6" x14ac:dyDescent="0.3">
      <c r="A18" s="8" t="s">
        <v>148</v>
      </c>
      <c r="B18">
        <v>316555</v>
      </c>
      <c r="C18">
        <v>49157</v>
      </c>
      <c r="D18">
        <v>254347</v>
      </c>
      <c r="E18">
        <v>413878</v>
      </c>
      <c r="F18">
        <v>413878</v>
      </c>
    </row>
    <row r="19" spans="1:6" x14ac:dyDescent="0.3">
      <c r="A19" s="8" t="s">
        <v>160</v>
      </c>
      <c r="B19">
        <v>169496</v>
      </c>
      <c r="C19">
        <v>456946</v>
      </c>
      <c r="D19">
        <v>122732</v>
      </c>
      <c r="E19">
        <v>382851</v>
      </c>
      <c r="F19">
        <v>456946</v>
      </c>
    </row>
    <row r="20" spans="1:6" x14ac:dyDescent="0.3">
      <c r="A20" s="8" t="s">
        <v>46</v>
      </c>
      <c r="B20">
        <v>26295</v>
      </c>
      <c r="C20">
        <v>35664</v>
      </c>
      <c r="D20">
        <v>298421</v>
      </c>
      <c r="E20">
        <v>426184</v>
      </c>
      <c r="F20">
        <v>426184</v>
      </c>
    </row>
    <row r="21" spans="1:6" x14ac:dyDescent="0.3">
      <c r="A21" s="8" t="s">
        <v>445</v>
      </c>
      <c r="B21">
        <v>220020</v>
      </c>
      <c r="C21">
        <v>419447</v>
      </c>
      <c r="D21">
        <v>315305</v>
      </c>
      <c r="E21">
        <v>113678</v>
      </c>
      <c r="F21">
        <v>419447</v>
      </c>
    </row>
    <row r="22" spans="1:6" x14ac:dyDescent="0.3">
      <c r="A22" s="8" t="s">
        <v>559</v>
      </c>
      <c r="B22">
        <v>251694</v>
      </c>
      <c r="C22">
        <v>58223</v>
      </c>
      <c r="D22">
        <v>389810</v>
      </c>
      <c r="E22">
        <v>233694</v>
      </c>
      <c r="F22">
        <v>389810</v>
      </c>
    </row>
    <row r="23" spans="1:6" x14ac:dyDescent="0.3">
      <c r="A23" s="8" t="s">
        <v>309</v>
      </c>
      <c r="B23">
        <v>334626</v>
      </c>
      <c r="C23">
        <v>154169</v>
      </c>
      <c r="D23">
        <v>226002</v>
      </c>
      <c r="E23">
        <v>156683</v>
      </c>
      <c r="F23">
        <v>334626</v>
      </c>
    </row>
    <row r="24" spans="1:6" x14ac:dyDescent="0.3">
      <c r="A24" s="8" t="s">
        <v>560</v>
      </c>
      <c r="B24">
        <v>295032</v>
      </c>
      <c r="C24">
        <v>473812</v>
      </c>
      <c r="D24">
        <v>198278</v>
      </c>
      <c r="E24">
        <v>306564</v>
      </c>
      <c r="F24">
        <v>473812</v>
      </c>
    </row>
    <row r="25" spans="1:6" x14ac:dyDescent="0.3">
      <c r="A25" s="8" t="s">
        <v>262</v>
      </c>
      <c r="B25">
        <v>435034</v>
      </c>
      <c r="C25">
        <v>23664</v>
      </c>
      <c r="D25">
        <v>287574</v>
      </c>
      <c r="E25">
        <v>62499</v>
      </c>
      <c r="F25">
        <v>435034</v>
      </c>
    </row>
    <row r="26" spans="1:6" x14ac:dyDescent="0.3">
      <c r="A26" s="8" t="s">
        <v>488</v>
      </c>
      <c r="B26">
        <v>125034</v>
      </c>
      <c r="C26">
        <v>437968</v>
      </c>
      <c r="D26">
        <v>449994</v>
      </c>
      <c r="E26">
        <v>320650</v>
      </c>
      <c r="F26">
        <v>449994</v>
      </c>
    </row>
    <row r="27" spans="1:6" x14ac:dyDescent="0.3">
      <c r="A27" s="8" t="s">
        <v>32</v>
      </c>
      <c r="B27">
        <v>307612</v>
      </c>
      <c r="C27">
        <v>489188</v>
      </c>
      <c r="D27">
        <v>434883</v>
      </c>
      <c r="E27">
        <v>102042</v>
      </c>
      <c r="F27">
        <v>489188</v>
      </c>
    </row>
    <row r="28" spans="1:6" x14ac:dyDescent="0.3">
      <c r="A28" s="8" t="s">
        <v>79</v>
      </c>
      <c r="B28">
        <v>183924</v>
      </c>
      <c r="C28">
        <v>325444</v>
      </c>
      <c r="D28">
        <v>188655</v>
      </c>
      <c r="E28">
        <v>87443</v>
      </c>
      <c r="F28">
        <v>325444</v>
      </c>
    </row>
    <row r="29" spans="1:6" x14ac:dyDescent="0.3">
      <c r="A29" s="8" t="s">
        <v>75</v>
      </c>
      <c r="B29">
        <v>379380</v>
      </c>
      <c r="C29">
        <v>453799</v>
      </c>
      <c r="D29">
        <v>186454</v>
      </c>
      <c r="E29">
        <v>239044</v>
      </c>
      <c r="F29">
        <v>453799</v>
      </c>
    </row>
    <row r="30" spans="1:6" x14ac:dyDescent="0.3">
      <c r="A30" s="8" t="s">
        <v>190</v>
      </c>
      <c r="B30">
        <v>496982</v>
      </c>
      <c r="C30">
        <v>101332</v>
      </c>
      <c r="D30">
        <v>318779</v>
      </c>
      <c r="E30">
        <v>370971</v>
      </c>
      <c r="F30">
        <v>496982</v>
      </c>
    </row>
    <row r="31" spans="1:6" x14ac:dyDescent="0.3">
      <c r="A31" s="8" t="s">
        <v>85</v>
      </c>
      <c r="B31">
        <v>307524</v>
      </c>
      <c r="C31">
        <v>378054</v>
      </c>
      <c r="D31">
        <v>434047</v>
      </c>
      <c r="E31">
        <v>64583</v>
      </c>
      <c r="F31">
        <v>434047</v>
      </c>
    </row>
    <row r="32" spans="1:6" x14ac:dyDescent="0.3">
      <c r="A32" s="8" t="s">
        <v>561</v>
      </c>
      <c r="B32">
        <v>474162</v>
      </c>
      <c r="C32">
        <v>50793</v>
      </c>
      <c r="D32">
        <v>392355</v>
      </c>
      <c r="E32">
        <v>119934</v>
      </c>
      <c r="F32">
        <v>474162</v>
      </c>
    </row>
    <row r="33" spans="1:6" x14ac:dyDescent="0.3">
      <c r="A33" s="8" t="s">
        <v>562</v>
      </c>
      <c r="B33">
        <v>239753</v>
      </c>
      <c r="C33">
        <v>422625</v>
      </c>
      <c r="D33">
        <v>268516</v>
      </c>
      <c r="E33">
        <v>63177</v>
      </c>
      <c r="F33">
        <v>422625</v>
      </c>
    </row>
    <row r="34" spans="1:6" x14ac:dyDescent="0.3">
      <c r="A34" s="8" t="s">
        <v>563</v>
      </c>
      <c r="B34">
        <v>453423</v>
      </c>
      <c r="C34">
        <v>370269</v>
      </c>
      <c r="D34">
        <v>64906</v>
      </c>
      <c r="E34">
        <v>94360</v>
      </c>
      <c r="F34">
        <v>453423</v>
      </c>
    </row>
    <row r="35" spans="1:6" x14ac:dyDescent="0.3">
      <c r="A35" s="8" t="s">
        <v>564</v>
      </c>
      <c r="B35">
        <v>379363</v>
      </c>
      <c r="C35">
        <v>187183</v>
      </c>
      <c r="D35">
        <v>476486</v>
      </c>
      <c r="E35">
        <v>117767</v>
      </c>
      <c r="F35">
        <v>476486</v>
      </c>
    </row>
    <row r="36" spans="1:6" x14ac:dyDescent="0.3">
      <c r="A36" s="8" t="s">
        <v>565</v>
      </c>
      <c r="B36">
        <v>157599</v>
      </c>
      <c r="C36">
        <v>388555</v>
      </c>
      <c r="D36">
        <v>309772</v>
      </c>
      <c r="E36">
        <v>199178</v>
      </c>
      <c r="F36">
        <v>388555</v>
      </c>
    </row>
    <row r="37" spans="1:6" x14ac:dyDescent="0.3">
      <c r="A37" s="8" t="s">
        <v>164</v>
      </c>
      <c r="B37">
        <v>23492</v>
      </c>
      <c r="C37">
        <v>357089</v>
      </c>
      <c r="D37">
        <v>258287</v>
      </c>
      <c r="E37">
        <v>256910</v>
      </c>
      <c r="F37">
        <v>357089</v>
      </c>
    </row>
    <row r="38" spans="1:6" x14ac:dyDescent="0.3">
      <c r="A38" s="8" t="s">
        <v>196</v>
      </c>
      <c r="B38">
        <v>209987</v>
      </c>
      <c r="C38">
        <v>346522</v>
      </c>
      <c r="D38">
        <v>240550</v>
      </c>
      <c r="E38">
        <v>305827</v>
      </c>
      <c r="F38">
        <v>346522</v>
      </c>
    </row>
    <row r="39" spans="1:6" x14ac:dyDescent="0.3">
      <c r="A39" s="8" t="s">
        <v>276</v>
      </c>
      <c r="B39">
        <v>319186</v>
      </c>
      <c r="C39">
        <v>54935</v>
      </c>
      <c r="D39">
        <v>439080</v>
      </c>
      <c r="E39">
        <v>258944</v>
      </c>
      <c r="F39">
        <v>439080</v>
      </c>
    </row>
    <row r="40" spans="1:6" x14ac:dyDescent="0.3">
      <c r="A40" s="8" t="s">
        <v>566</v>
      </c>
      <c r="B40">
        <v>309483</v>
      </c>
      <c r="C40">
        <v>51395</v>
      </c>
      <c r="D40">
        <v>87305</v>
      </c>
      <c r="E40">
        <v>121091</v>
      </c>
      <c r="F40">
        <v>309483</v>
      </c>
    </row>
    <row r="41" spans="1:6" x14ac:dyDescent="0.3">
      <c r="A41" s="8" t="s">
        <v>65</v>
      </c>
      <c r="B41">
        <v>338847</v>
      </c>
      <c r="C41">
        <v>51087</v>
      </c>
      <c r="D41">
        <v>487523</v>
      </c>
      <c r="E41">
        <v>301695</v>
      </c>
      <c r="F41">
        <v>487523</v>
      </c>
    </row>
    <row r="42" spans="1:6" x14ac:dyDescent="0.3">
      <c r="A42" s="8" t="s">
        <v>126</v>
      </c>
      <c r="B42">
        <v>336661</v>
      </c>
      <c r="C42">
        <v>282466</v>
      </c>
      <c r="D42">
        <v>88455</v>
      </c>
      <c r="E42">
        <v>62535</v>
      </c>
      <c r="F42">
        <v>336661</v>
      </c>
    </row>
    <row r="43" spans="1:6" x14ac:dyDescent="0.3">
      <c r="A43" s="8" t="s">
        <v>567</v>
      </c>
      <c r="B43">
        <v>470269</v>
      </c>
      <c r="C43">
        <v>421957</v>
      </c>
      <c r="D43">
        <v>309904</v>
      </c>
      <c r="E43">
        <v>221274</v>
      </c>
      <c r="F43">
        <v>470269</v>
      </c>
    </row>
    <row r="44" spans="1:6" x14ac:dyDescent="0.3">
      <c r="A44" s="8" t="s">
        <v>215</v>
      </c>
      <c r="B44">
        <v>35842</v>
      </c>
      <c r="C44">
        <v>220616</v>
      </c>
      <c r="D44">
        <v>20607</v>
      </c>
      <c r="E44">
        <v>451894</v>
      </c>
      <c r="F44">
        <v>451894</v>
      </c>
    </row>
    <row r="45" spans="1:6" x14ac:dyDescent="0.3">
      <c r="A45" s="8" t="s">
        <v>109</v>
      </c>
      <c r="B45">
        <v>415815</v>
      </c>
      <c r="C45">
        <v>465553</v>
      </c>
      <c r="D45">
        <v>327183</v>
      </c>
      <c r="E45">
        <v>488901</v>
      </c>
      <c r="F45">
        <v>488901</v>
      </c>
    </row>
    <row r="46" spans="1:6" x14ac:dyDescent="0.3">
      <c r="A46" s="8" t="s">
        <v>15</v>
      </c>
      <c r="B46">
        <v>93347</v>
      </c>
      <c r="C46">
        <v>280795</v>
      </c>
      <c r="D46">
        <v>81119</v>
      </c>
      <c r="E46">
        <v>25177</v>
      </c>
      <c r="F46">
        <v>280795</v>
      </c>
    </row>
    <row r="47" spans="1:6" x14ac:dyDescent="0.3">
      <c r="A47" s="8" t="s">
        <v>568</v>
      </c>
      <c r="B47">
        <v>379431</v>
      </c>
      <c r="C47">
        <v>140804</v>
      </c>
      <c r="D47">
        <v>274831</v>
      </c>
      <c r="E47">
        <v>136845</v>
      </c>
      <c r="F47">
        <v>379431</v>
      </c>
    </row>
    <row r="48" spans="1:6" x14ac:dyDescent="0.3">
      <c r="A48" s="8" t="s">
        <v>122</v>
      </c>
      <c r="B48">
        <v>95728</v>
      </c>
      <c r="C48">
        <v>466382</v>
      </c>
      <c r="D48">
        <v>371156</v>
      </c>
      <c r="E48">
        <v>95410</v>
      </c>
      <c r="F48">
        <v>466382</v>
      </c>
    </row>
    <row r="49" spans="1:6" x14ac:dyDescent="0.3">
      <c r="A49" s="8" t="s">
        <v>569</v>
      </c>
      <c r="B49">
        <v>224699</v>
      </c>
      <c r="C49">
        <v>349413</v>
      </c>
      <c r="D49">
        <v>487896</v>
      </c>
      <c r="E49">
        <v>14437</v>
      </c>
      <c r="F49">
        <v>487896</v>
      </c>
    </row>
    <row r="50" spans="1:6" x14ac:dyDescent="0.3">
      <c r="A50" s="8" t="s">
        <v>570</v>
      </c>
      <c r="B50">
        <v>479490</v>
      </c>
      <c r="C50">
        <v>383681</v>
      </c>
      <c r="D50">
        <v>124404</v>
      </c>
      <c r="E50">
        <v>336949</v>
      </c>
      <c r="F50">
        <v>479490</v>
      </c>
    </row>
    <row r="51" spans="1:6" x14ac:dyDescent="0.3">
      <c r="A51" s="8" t="s">
        <v>218</v>
      </c>
      <c r="B51">
        <v>321307</v>
      </c>
      <c r="C51">
        <v>357265</v>
      </c>
      <c r="D51">
        <v>262569</v>
      </c>
      <c r="E51">
        <v>461669</v>
      </c>
      <c r="F51">
        <v>461669</v>
      </c>
    </row>
    <row r="52" spans="1:6" x14ac:dyDescent="0.3">
      <c r="A52" s="8" t="s">
        <v>571</v>
      </c>
      <c r="B52">
        <v>135987</v>
      </c>
      <c r="C52">
        <v>351556</v>
      </c>
      <c r="D52">
        <v>177554</v>
      </c>
      <c r="E52">
        <v>270766</v>
      </c>
      <c r="F52">
        <v>351556</v>
      </c>
    </row>
    <row r="53" spans="1:6" x14ac:dyDescent="0.3">
      <c r="A53" s="8" t="s">
        <v>243</v>
      </c>
      <c r="B53">
        <v>309914</v>
      </c>
      <c r="C53">
        <v>222126</v>
      </c>
      <c r="D53">
        <v>126582</v>
      </c>
      <c r="E53">
        <v>485280</v>
      </c>
      <c r="F53">
        <v>485280</v>
      </c>
    </row>
    <row r="54" spans="1:6" x14ac:dyDescent="0.3">
      <c r="A54" s="8" t="s">
        <v>124</v>
      </c>
      <c r="B54">
        <v>104967</v>
      </c>
      <c r="C54">
        <v>453243</v>
      </c>
      <c r="D54">
        <v>145608</v>
      </c>
      <c r="E54">
        <v>105980</v>
      </c>
      <c r="F54">
        <v>453243</v>
      </c>
    </row>
    <row r="55" spans="1:6" x14ac:dyDescent="0.3">
      <c r="A55" s="8" t="s">
        <v>144</v>
      </c>
      <c r="B55">
        <v>230448</v>
      </c>
      <c r="C55">
        <v>126524</v>
      </c>
      <c r="D55">
        <v>317007</v>
      </c>
      <c r="E55">
        <v>464239</v>
      </c>
      <c r="F55">
        <v>464239</v>
      </c>
    </row>
    <row r="56" spans="1:6" x14ac:dyDescent="0.3">
      <c r="A56" s="8" t="s">
        <v>192</v>
      </c>
      <c r="B56">
        <v>366881</v>
      </c>
      <c r="C56">
        <v>257579</v>
      </c>
      <c r="D56">
        <v>466575</v>
      </c>
      <c r="E56">
        <v>224534</v>
      </c>
      <c r="F56">
        <v>466575</v>
      </c>
    </row>
    <row r="57" spans="1:6" x14ac:dyDescent="0.3">
      <c r="A57" s="8" t="s">
        <v>572</v>
      </c>
      <c r="B57">
        <v>340842</v>
      </c>
      <c r="C57">
        <v>462142</v>
      </c>
      <c r="D57">
        <v>12471</v>
      </c>
      <c r="E57">
        <v>98397</v>
      </c>
      <c r="F57">
        <v>462142</v>
      </c>
    </row>
    <row r="58" spans="1:6" x14ac:dyDescent="0.3">
      <c r="A58" s="8" t="s">
        <v>573</v>
      </c>
      <c r="B58">
        <v>342129</v>
      </c>
      <c r="C58">
        <v>410330</v>
      </c>
      <c r="D58">
        <v>12447</v>
      </c>
      <c r="E58">
        <v>17380</v>
      </c>
      <c r="F58">
        <v>410330</v>
      </c>
    </row>
    <row r="59" spans="1:6" x14ac:dyDescent="0.3">
      <c r="A59" s="8" t="s">
        <v>228</v>
      </c>
      <c r="B59">
        <v>373606</v>
      </c>
      <c r="C59">
        <v>364810</v>
      </c>
      <c r="D59">
        <v>211090</v>
      </c>
      <c r="E59">
        <v>441931</v>
      </c>
      <c r="F59">
        <v>441931</v>
      </c>
    </row>
    <row r="60" spans="1:6" x14ac:dyDescent="0.3">
      <c r="A60" s="8" t="s">
        <v>574</v>
      </c>
      <c r="B60">
        <v>370070</v>
      </c>
      <c r="C60">
        <v>282780</v>
      </c>
      <c r="D60">
        <v>198350</v>
      </c>
      <c r="E60">
        <v>435726</v>
      </c>
      <c r="F60">
        <v>435726</v>
      </c>
    </row>
    <row r="61" spans="1:6" x14ac:dyDescent="0.3">
      <c r="A61" s="8" t="s">
        <v>404</v>
      </c>
      <c r="B61">
        <v>98596</v>
      </c>
      <c r="C61">
        <v>78789</v>
      </c>
      <c r="D61">
        <v>29589</v>
      </c>
      <c r="E61">
        <v>290354</v>
      </c>
      <c r="F61">
        <v>290354</v>
      </c>
    </row>
    <row r="62" spans="1:6" x14ac:dyDescent="0.3">
      <c r="A62" s="8" t="s">
        <v>575</v>
      </c>
      <c r="B62">
        <v>70707</v>
      </c>
      <c r="C62">
        <v>66682</v>
      </c>
      <c r="D62">
        <v>142507</v>
      </c>
      <c r="E62">
        <v>369525</v>
      </c>
      <c r="F62">
        <v>369525</v>
      </c>
    </row>
    <row r="63" spans="1:6" x14ac:dyDescent="0.3">
      <c r="A63" s="8" t="s">
        <v>576</v>
      </c>
      <c r="B63">
        <v>377382</v>
      </c>
      <c r="C63">
        <v>62942</v>
      </c>
      <c r="D63">
        <v>333851</v>
      </c>
      <c r="E63">
        <v>270958</v>
      </c>
      <c r="F63">
        <v>377382</v>
      </c>
    </row>
    <row r="64" spans="1:6" x14ac:dyDescent="0.3">
      <c r="A64" s="8" t="s">
        <v>356</v>
      </c>
      <c r="B64">
        <v>224830</v>
      </c>
      <c r="C64">
        <v>445944</v>
      </c>
      <c r="D64">
        <v>487289</v>
      </c>
      <c r="E64">
        <v>11435</v>
      </c>
      <c r="F64">
        <v>487289</v>
      </c>
    </row>
    <row r="65" spans="1:6" x14ac:dyDescent="0.3">
      <c r="A65" s="8" t="s">
        <v>77</v>
      </c>
      <c r="B65">
        <v>418696</v>
      </c>
      <c r="C65">
        <v>447902</v>
      </c>
      <c r="D65">
        <v>484364</v>
      </c>
      <c r="E65">
        <v>148477</v>
      </c>
      <c r="F65">
        <v>484364</v>
      </c>
    </row>
    <row r="66" spans="1:6" x14ac:dyDescent="0.3">
      <c r="A66" s="8" t="s">
        <v>26</v>
      </c>
      <c r="B66">
        <v>364820</v>
      </c>
      <c r="C66">
        <v>468301</v>
      </c>
      <c r="D66">
        <v>456298</v>
      </c>
      <c r="E66">
        <v>82558</v>
      </c>
      <c r="F66">
        <v>468301</v>
      </c>
    </row>
    <row r="67" spans="1:6" x14ac:dyDescent="0.3">
      <c r="A67" s="8" t="s">
        <v>604</v>
      </c>
      <c r="B67">
        <v>496982</v>
      </c>
      <c r="C67">
        <v>489188</v>
      </c>
      <c r="D67">
        <v>487896</v>
      </c>
      <c r="E67">
        <v>488901</v>
      </c>
      <c r="F67">
        <v>496982</v>
      </c>
    </row>
    <row r="71" spans="1:6" x14ac:dyDescent="0.3">
      <c r="A71" s="7" t="s">
        <v>603</v>
      </c>
      <c r="B71" t="s">
        <v>616</v>
      </c>
      <c r="C71" t="s">
        <v>615</v>
      </c>
    </row>
    <row r="72" spans="1:6" x14ac:dyDescent="0.3">
      <c r="A72" s="8" t="s">
        <v>41</v>
      </c>
      <c r="B72">
        <v>282.43</v>
      </c>
      <c r="C72">
        <v>1379539</v>
      </c>
    </row>
    <row r="73" spans="1:6" x14ac:dyDescent="0.3">
      <c r="A73" s="8" t="s">
        <v>31</v>
      </c>
      <c r="B73">
        <v>285.78000000000003</v>
      </c>
      <c r="C73">
        <v>1164373</v>
      </c>
    </row>
    <row r="74" spans="1:6" x14ac:dyDescent="0.3">
      <c r="A74" s="8" t="s">
        <v>14</v>
      </c>
      <c r="B74">
        <v>282.79000000000002</v>
      </c>
      <c r="C74">
        <v>1060357</v>
      </c>
    </row>
    <row r="75" spans="1:6" x14ac:dyDescent="0.3">
      <c r="A75" s="8" t="s">
        <v>25</v>
      </c>
      <c r="B75">
        <v>277.94</v>
      </c>
      <c r="C75">
        <v>1228647</v>
      </c>
    </row>
    <row r="76" spans="1:6" x14ac:dyDescent="0.3">
      <c r="A76" s="8" t="s">
        <v>604</v>
      </c>
      <c r="B76">
        <v>1128.94</v>
      </c>
      <c r="C76">
        <v>4832916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727E-EAC6-4D84-9A45-5D8B06E6C2A3}">
  <dimension ref="A2:F48"/>
  <sheetViews>
    <sheetView topLeftCell="A27" workbookViewId="0">
      <selection activeCell="B39" sqref="B39"/>
    </sheetView>
  </sheetViews>
  <sheetFormatPr defaultRowHeight="14.4" x14ac:dyDescent="0.3"/>
  <cols>
    <col min="1" max="1" width="22.5546875" bestFit="1" customWidth="1"/>
    <col min="2" max="2" width="15.5546875" bestFit="1" customWidth="1"/>
    <col min="3" max="6" width="12" bestFit="1" customWidth="1"/>
  </cols>
  <sheetData>
    <row r="2" spans="1:2" x14ac:dyDescent="0.3">
      <c r="A2" s="7" t="s">
        <v>603</v>
      </c>
      <c r="B2" t="s">
        <v>617</v>
      </c>
    </row>
    <row r="3" spans="1:2" x14ac:dyDescent="0.3">
      <c r="A3" s="8" t="s">
        <v>28</v>
      </c>
      <c r="B3">
        <v>100</v>
      </c>
    </row>
    <row r="4" spans="1:2" x14ac:dyDescent="0.3">
      <c r="A4" s="8" t="s">
        <v>60</v>
      </c>
      <c r="B4">
        <v>103</v>
      </c>
    </row>
    <row r="5" spans="1:2" x14ac:dyDescent="0.3">
      <c r="A5" s="8" t="s">
        <v>35</v>
      </c>
      <c r="B5">
        <v>97</v>
      </c>
    </row>
    <row r="6" spans="1:2" x14ac:dyDescent="0.3">
      <c r="A6" s="8" t="s">
        <v>604</v>
      </c>
      <c r="B6">
        <v>300</v>
      </c>
    </row>
    <row r="20" spans="1:2" x14ac:dyDescent="0.3">
      <c r="A20" s="7" t="s">
        <v>603</v>
      </c>
      <c r="B20" t="s">
        <v>613</v>
      </c>
    </row>
    <row r="21" spans="1:2" x14ac:dyDescent="0.3">
      <c r="A21" s="8" t="s">
        <v>35</v>
      </c>
      <c r="B21">
        <v>300.03460762572223</v>
      </c>
    </row>
    <row r="22" spans="1:2" x14ac:dyDescent="0.3">
      <c r="A22" s="8" t="s">
        <v>60</v>
      </c>
      <c r="B22">
        <v>113.01986524083432</v>
      </c>
    </row>
    <row r="23" spans="1:2" x14ac:dyDescent="0.3">
      <c r="A23" s="8" t="s">
        <v>28</v>
      </c>
      <c r="B23">
        <v>316.16770583671746</v>
      </c>
    </row>
    <row r="24" spans="1:2" x14ac:dyDescent="0.3">
      <c r="A24" s="8" t="s">
        <v>604</v>
      </c>
      <c r="B24">
        <v>729.22217870327404</v>
      </c>
    </row>
    <row r="40" spans="1:6" x14ac:dyDescent="0.3">
      <c r="A40" s="7" t="s">
        <v>613</v>
      </c>
      <c r="B40" s="7" t="s">
        <v>605</v>
      </c>
    </row>
    <row r="41" spans="1:6" x14ac:dyDescent="0.3">
      <c r="A41" s="7" t="s">
        <v>603</v>
      </c>
      <c r="B41" t="s">
        <v>41</v>
      </c>
      <c r="C41" t="s">
        <v>31</v>
      </c>
      <c r="D41" t="s">
        <v>14</v>
      </c>
      <c r="E41" t="s">
        <v>599</v>
      </c>
      <c r="F41" t="s">
        <v>604</v>
      </c>
    </row>
    <row r="42" spans="1:6" x14ac:dyDescent="0.3">
      <c r="A42" s="8" t="s">
        <v>43</v>
      </c>
      <c r="B42">
        <v>14.622724024080181</v>
      </c>
      <c r="C42">
        <v>18.281642940747162</v>
      </c>
      <c r="D42">
        <v>219.20596790043263</v>
      </c>
      <c r="E42">
        <v>15.34882635232254</v>
      </c>
      <c r="F42">
        <v>267.4591612175825</v>
      </c>
    </row>
    <row r="43" spans="1:6" x14ac:dyDescent="0.3">
      <c r="A43" s="8" t="s">
        <v>50</v>
      </c>
      <c r="B43">
        <v>26.906154997341506</v>
      </c>
      <c r="C43">
        <v>10.91051172750282</v>
      </c>
      <c r="D43">
        <v>21.075257566027854</v>
      </c>
      <c r="E43">
        <v>10.116998520818999</v>
      </c>
      <c r="F43">
        <v>69.008922811691178</v>
      </c>
    </row>
    <row r="44" spans="1:6" x14ac:dyDescent="0.3">
      <c r="A44" s="8" t="s">
        <v>16</v>
      </c>
      <c r="B44">
        <v>11.428935333329147</v>
      </c>
      <c r="C44">
        <v>19.193332205305421</v>
      </c>
      <c r="D44">
        <v>11.914006204652255</v>
      </c>
      <c r="E44">
        <v>12.658590790218849</v>
      </c>
      <c r="F44">
        <v>55.194864533505665</v>
      </c>
    </row>
    <row r="45" spans="1:6" x14ac:dyDescent="0.3">
      <c r="A45" s="8" t="s">
        <v>33</v>
      </c>
      <c r="B45">
        <v>12.066520798360731</v>
      </c>
      <c r="C45">
        <v>213.65871112475048</v>
      </c>
      <c r="D45">
        <v>10.690696644955704</v>
      </c>
      <c r="E45">
        <v>9.2629123631825614</v>
      </c>
      <c r="F45">
        <v>245.67884093124945</v>
      </c>
    </row>
    <row r="46" spans="1:6" x14ac:dyDescent="0.3">
      <c r="A46" s="8" t="s">
        <v>21</v>
      </c>
      <c r="B46">
        <v>13.777162868229226</v>
      </c>
      <c r="C46">
        <v>10.817999676161241</v>
      </c>
      <c r="D46">
        <v>11.58916908504769</v>
      </c>
      <c r="E46">
        <v>8.2910698298266432</v>
      </c>
      <c r="F46">
        <v>44.475401459264802</v>
      </c>
    </row>
    <row r="47" spans="1:6" x14ac:dyDescent="0.3">
      <c r="A47" s="8" t="s">
        <v>72</v>
      </c>
      <c r="B47">
        <v>9.7853500870584629</v>
      </c>
      <c r="C47">
        <v>14.388124777583254</v>
      </c>
      <c r="D47">
        <v>12.754042847503353</v>
      </c>
      <c r="E47">
        <v>10.477470037835355</v>
      </c>
      <c r="F47">
        <v>47.404987749980428</v>
      </c>
    </row>
    <row r="48" spans="1:6" x14ac:dyDescent="0.3">
      <c r="A48" s="8" t="s">
        <v>604</v>
      </c>
      <c r="B48">
        <v>88.586848108399252</v>
      </c>
      <c r="C48">
        <v>287.2503224520504</v>
      </c>
      <c r="D48">
        <v>287.22914024861944</v>
      </c>
      <c r="E48">
        <v>66.155867894204945</v>
      </c>
      <c r="F48">
        <v>729.22217870327404</v>
      </c>
    </row>
  </sheetData>
  <conditionalFormatting sqref="A1:B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B25">
    <cfRule type="colorScale" priority="2">
      <colorScale>
        <cfvo type="min"/>
        <cfvo type="max"/>
        <color rgb="FF63BE7B"/>
        <color rgb="FFFFEF9C"/>
      </colorScale>
    </cfRule>
  </conditionalFormatting>
  <conditionalFormatting sqref="A39:F4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EFCC-973D-4E04-9890-6667B5C90845}">
  <dimension ref="A2:F54"/>
  <sheetViews>
    <sheetView tabSelected="1" topLeftCell="B22" workbookViewId="0">
      <selection activeCell="A5" sqref="A5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10.77734375" bestFit="1" customWidth="1"/>
  </cols>
  <sheetData>
    <row r="2" spans="1:6" x14ac:dyDescent="0.3">
      <c r="A2" s="7" t="s">
        <v>632</v>
      </c>
      <c r="B2" s="7" t="s">
        <v>605</v>
      </c>
    </row>
    <row r="3" spans="1:6" x14ac:dyDescent="0.3">
      <c r="A3" s="7" t="s">
        <v>603</v>
      </c>
      <c r="B3" t="s">
        <v>41</v>
      </c>
      <c r="C3" t="s">
        <v>31</v>
      </c>
      <c r="D3" t="s">
        <v>14</v>
      </c>
      <c r="E3" t="s">
        <v>25</v>
      </c>
      <c r="F3" t="s">
        <v>604</v>
      </c>
    </row>
    <row r="4" spans="1:6" x14ac:dyDescent="0.3">
      <c r="A4" s="8" t="s">
        <v>226</v>
      </c>
      <c r="B4" s="17">
        <v>1312</v>
      </c>
      <c r="C4" s="17">
        <v>1135</v>
      </c>
      <c r="D4" s="17">
        <v>584</v>
      </c>
      <c r="E4" s="17">
        <v>1535</v>
      </c>
      <c r="F4" s="17">
        <v>4566</v>
      </c>
    </row>
    <row r="5" spans="1:6" x14ac:dyDescent="0.3">
      <c r="A5" s="8" t="s">
        <v>148</v>
      </c>
      <c r="B5" s="17">
        <v>1697</v>
      </c>
      <c r="C5" s="17">
        <v>656</v>
      </c>
      <c r="D5" s="17">
        <v>436</v>
      </c>
      <c r="E5" s="17">
        <v>1197</v>
      </c>
      <c r="F5" s="17">
        <v>3986</v>
      </c>
    </row>
    <row r="6" spans="1:6" x14ac:dyDescent="0.3">
      <c r="A6" s="8" t="s">
        <v>160</v>
      </c>
      <c r="B6" s="17">
        <v>1753</v>
      </c>
      <c r="C6" s="17">
        <v>1048</v>
      </c>
      <c r="D6" s="17">
        <v>1335</v>
      </c>
      <c r="E6" s="17">
        <v>403</v>
      </c>
      <c r="F6" s="17">
        <v>4539</v>
      </c>
    </row>
    <row r="7" spans="1:6" x14ac:dyDescent="0.3">
      <c r="A7" s="8" t="s">
        <v>46</v>
      </c>
      <c r="B7" s="17">
        <v>1779</v>
      </c>
      <c r="C7" s="17">
        <v>911</v>
      </c>
      <c r="D7" s="17">
        <v>1238</v>
      </c>
      <c r="E7" s="17">
        <v>308</v>
      </c>
      <c r="F7" s="17">
        <v>4236</v>
      </c>
    </row>
    <row r="8" spans="1:6" x14ac:dyDescent="0.3">
      <c r="A8" s="8" t="s">
        <v>445</v>
      </c>
      <c r="B8" s="17">
        <v>505</v>
      </c>
      <c r="C8" s="17">
        <v>226</v>
      </c>
      <c r="D8" s="17">
        <v>1420</v>
      </c>
      <c r="E8" s="17">
        <v>144</v>
      </c>
      <c r="F8" s="17">
        <v>2295</v>
      </c>
    </row>
    <row r="9" spans="1:6" x14ac:dyDescent="0.3">
      <c r="A9" s="8" t="s">
        <v>559</v>
      </c>
      <c r="B9" s="17">
        <v>350</v>
      </c>
      <c r="C9" s="17">
        <v>1757</v>
      </c>
      <c r="D9" s="17">
        <v>987</v>
      </c>
      <c r="E9" s="17">
        <v>883</v>
      </c>
      <c r="F9" s="17">
        <v>3977</v>
      </c>
    </row>
    <row r="10" spans="1:6" x14ac:dyDescent="0.3">
      <c r="A10" s="8" t="s">
        <v>309</v>
      </c>
      <c r="B10" s="17">
        <v>170</v>
      </c>
      <c r="C10" s="17">
        <v>1960</v>
      </c>
      <c r="D10" s="17">
        <v>704</v>
      </c>
      <c r="E10" s="17">
        <v>224</v>
      </c>
      <c r="F10" s="17">
        <v>3058</v>
      </c>
    </row>
    <row r="11" spans="1:6" x14ac:dyDescent="0.3">
      <c r="A11" s="8" t="s">
        <v>560</v>
      </c>
      <c r="B11" s="17">
        <v>1391</v>
      </c>
      <c r="C11" s="17">
        <v>508</v>
      </c>
      <c r="D11" s="17">
        <v>1701</v>
      </c>
      <c r="E11" s="17">
        <v>804</v>
      </c>
      <c r="F11" s="17">
        <v>4404</v>
      </c>
    </row>
    <row r="12" spans="1:6" x14ac:dyDescent="0.3">
      <c r="A12" s="8" t="s">
        <v>262</v>
      </c>
      <c r="B12" s="17">
        <v>160</v>
      </c>
      <c r="C12" s="17">
        <v>653</v>
      </c>
      <c r="D12" s="17">
        <v>1756</v>
      </c>
      <c r="E12" s="17">
        <v>576</v>
      </c>
      <c r="F12" s="17">
        <v>3145</v>
      </c>
    </row>
    <row r="13" spans="1:6" x14ac:dyDescent="0.3">
      <c r="A13" s="8" t="s">
        <v>488</v>
      </c>
      <c r="B13" s="17">
        <v>214</v>
      </c>
      <c r="C13" s="17">
        <v>645</v>
      </c>
      <c r="D13" s="17">
        <v>826</v>
      </c>
      <c r="E13" s="17">
        <v>460</v>
      </c>
      <c r="F13" s="17">
        <v>2145</v>
      </c>
    </row>
    <row r="14" spans="1:6" x14ac:dyDescent="0.3">
      <c r="A14" s="8" t="s">
        <v>32</v>
      </c>
      <c r="B14" s="17">
        <v>1534</v>
      </c>
      <c r="C14" s="17">
        <v>1528</v>
      </c>
      <c r="D14" s="17">
        <v>485</v>
      </c>
      <c r="E14" s="17">
        <v>1210</v>
      </c>
      <c r="F14" s="17">
        <v>4757</v>
      </c>
    </row>
    <row r="15" spans="1:6" x14ac:dyDescent="0.3">
      <c r="A15" s="8" t="s">
        <v>79</v>
      </c>
      <c r="B15" s="17">
        <v>1078</v>
      </c>
      <c r="C15" s="17">
        <v>215</v>
      </c>
      <c r="D15" s="17">
        <v>1751</v>
      </c>
      <c r="E15" s="17">
        <v>221</v>
      </c>
      <c r="F15" s="17">
        <v>3265</v>
      </c>
    </row>
    <row r="16" spans="1:6" x14ac:dyDescent="0.3">
      <c r="A16" s="8" t="s">
        <v>75</v>
      </c>
      <c r="B16" s="17">
        <v>248</v>
      </c>
      <c r="C16" s="17">
        <v>1685</v>
      </c>
      <c r="D16" s="17">
        <v>1300</v>
      </c>
      <c r="E16" s="17">
        <v>422</v>
      </c>
      <c r="F16" s="17">
        <v>3655</v>
      </c>
    </row>
    <row r="17" spans="1:6" x14ac:dyDescent="0.3">
      <c r="A17" s="8" t="s">
        <v>190</v>
      </c>
      <c r="B17" s="17">
        <v>1520</v>
      </c>
      <c r="C17" s="17">
        <v>1429</v>
      </c>
      <c r="D17" s="17">
        <v>557</v>
      </c>
      <c r="E17" s="17">
        <v>728</v>
      </c>
      <c r="F17" s="17">
        <v>4234</v>
      </c>
    </row>
    <row r="18" spans="1:6" x14ac:dyDescent="0.3">
      <c r="A18" s="8" t="s">
        <v>85</v>
      </c>
      <c r="B18" s="17">
        <v>1842</v>
      </c>
      <c r="C18" s="17">
        <v>1592</v>
      </c>
      <c r="D18" s="17">
        <v>751</v>
      </c>
      <c r="E18" s="17">
        <v>1409</v>
      </c>
      <c r="F18" s="17">
        <v>5594</v>
      </c>
    </row>
    <row r="19" spans="1:6" x14ac:dyDescent="0.3">
      <c r="A19" s="8" t="s">
        <v>561</v>
      </c>
      <c r="B19" s="17">
        <v>443</v>
      </c>
      <c r="C19" s="17">
        <v>778</v>
      </c>
      <c r="D19" s="17">
        <v>1472</v>
      </c>
      <c r="E19" s="17">
        <v>123</v>
      </c>
      <c r="F19" s="17">
        <v>2816</v>
      </c>
    </row>
    <row r="20" spans="1:6" x14ac:dyDescent="0.3">
      <c r="A20" s="8" t="s">
        <v>562</v>
      </c>
      <c r="B20" s="17">
        <v>198</v>
      </c>
      <c r="C20" s="17">
        <v>817</v>
      </c>
      <c r="D20" s="17">
        <v>1911</v>
      </c>
      <c r="E20" s="17">
        <v>1218</v>
      </c>
      <c r="F20" s="17">
        <v>4144</v>
      </c>
    </row>
    <row r="21" spans="1:6" x14ac:dyDescent="0.3">
      <c r="A21" s="8" t="s">
        <v>563</v>
      </c>
      <c r="B21" s="17">
        <v>250</v>
      </c>
      <c r="C21" s="17">
        <v>1433</v>
      </c>
      <c r="D21" s="17">
        <v>752</v>
      </c>
      <c r="E21" s="17">
        <v>1918</v>
      </c>
      <c r="F21" s="17">
        <v>4353</v>
      </c>
    </row>
    <row r="22" spans="1:6" x14ac:dyDescent="0.3">
      <c r="A22" s="8" t="s">
        <v>564</v>
      </c>
      <c r="B22" s="17">
        <v>1929</v>
      </c>
      <c r="C22" s="17">
        <v>1939</v>
      </c>
      <c r="D22" s="17">
        <v>437</v>
      </c>
      <c r="E22" s="17">
        <v>307</v>
      </c>
      <c r="F22" s="17">
        <v>4612</v>
      </c>
    </row>
    <row r="23" spans="1:6" x14ac:dyDescent="0.3">
      <c r="A23" s="8" t="s">
        <v>565</v>
      </c>
      <c r="B23" s="17">
        <v>643</v>
      </c>
      <c r="C23" s="17">
        <v>1527</v>
      </c>
      <c r="D23" s="17">
        <v>201</v>
      </c>
      <c r="E23" s="17">
        <v>414</v>
      </c>
      <c r="F23" s="17">
        <v>2785</v>
      </c>
    </row>
    <row r="24" spans="1:6" x14ac:dyDescent="0.3">
      <c r="A24" s="8" t="s">
        <v>164</v>
      </c>
      <c r="B24" s="17">
        <v>508</v>
      </c>
      <c r="C24" s="17">
        <v>703</v>
      </c>
      <c r="D24" s="17">
        <v>697</v>
      </c>
      <c r="E24" s="17">
        <v>1707</v>
      </c>
      <c r="F24" s="17">
        <v>3615</v>
      </c>
    </row>
    <row r="25" spans="1:6" x14ac:dyDescent="0.3">
      <c r="A25" s="8" t="s">
        <v>196</v>
      </c>
      <c r="B25" s="17">
        <v>859</v>
      </c>
      <c r="C25" s="17">
        <v>642</v>
      </c>
      <c r="D25" s="17">
        <v>191</v>
      </c>
      <c r="E25" s="17">
        <v>1814</v>
      </c>
      <c r="F25" s="17">
        <v>3506</v>
      </c>
    </row>
    <row r="26" spans="1:6" x14ac:dyDescent="0.3">
      <c r="A26" s="8" t="s">
        <v>276</v>
      </c>
      <c r="B26" s="17">
        <v>947</v>
      </c>
      <c r="C26" s="17">
        <v>1466</v>
      </c>
      <c r="D26" s="17">
        <v>1821</v>
      </c>
      <c r="E26" s="17">
        <v>1507</v>
      </c>
      <c r="F26" s="17">
        <v>5741</v>
      </c>
    </row>
    <row r="27" spans="1:6" x14ac:dyDescent="0.3">
      <c r="A27" s="8" t="s">
        <v>566</v>
      </c>
      <c r="B27" s="17">
        <v>171</v>
      </c>
      <c r="C27" s="17">
        <v>1075</v>
      </c>
      <c r="D27" s="17">
        <v>1487</v>
      </c>
      <c r="E27" s="17">
        <v>454</v>
      </c>
      <c r="F27" s="17">
        <v>3187</v>
      </c>
    </row>
    <row r="28" spans="1:6" x14ac:dyDescent="0.3">
      <c r="A28" s="8" t="s">
        <v>65</v>
      </c>
      <c r="B28" s="17">
        <v>513</v>
      </c>
      <c r="C28" s="17">
        <v>187</v>
      </c>
      <c r="D28" s="17">
        <v>628</v>
      </c>
      <c r="E28" s="17">
        <v>278</v>
      </c>
      <c r="F28" s="17">
        <v>1606</v>
      </c>
    </row>
    <row r="29" spans="1:6" x14ac:dyDescent="0.3">
      <c r="A29" s="8" t="s">
        <v>126</v>
      </c>
      <c r="B29" s="17">
        <v>1710</v>
      </c>
      <c r="C29" s="17">
        <v>1854</v>
      </c>
      <c r="D29" s="17">
        <v>330</v>
      </c>
      <c r="E29" s="17">
        <v>1293</v>
      </c>
      <c r="F29" s="17">
        <v>5187</v>
      </c>
    </row>
    <row r="30" spans="1:6" x14ac:dyDescent="0.3">
      <c r="A30" s="8" t="s">
        <v>567</v>
      </c>
      <c r="B30" s="17">
        <v>1902</v>
      </c>
      <c r="C30" s="17">
        <v>1696</v>
      </c>
      <c r="D30" s="17">
        <v>1441</v>
      </c>
      <c r="E30" s="17">
        <v>452</v>
      </c>
      <c r="F30" s="17">
        <v>5491</v>
      </c>
    </row>
    <row r="31" spans="1:6" x14ac:dyDescent="0.3">
      <c r="A31" s="8" t="s">
        <v>215</v>
      </c>
      <c r="B31" s="17">
        <v>1514</v>
      </c>
      <c r="C31" s="17">
        <v>1494</v>
      </c>
      <c r="D31" s="17">
        <v>1937</v>
      </c>
      <c r="E31" s="17">
        <v>736</v>
      </c>
      <c r="F31" s="17">
        <v>5681</v>
      </c>
    </row>
    <row r="32" spans="1:6" x14ac:dyDescent="0.3">
      <c r="A32" s="8" t="s">
        <v>109</v>
      </c>
      <c r="B32" s="17">
        <v>1623</v>
      </c>
      <c r="C32" s="17">
        <v>1502</v>
      </c>
      <c r="D32" s="17">
        <v>1592</v>
      </c>
      <c r="E32" s="17">
        <v>1004</v>
      </c>
      <c r="F32" s="17">
        <v>5721</v>
      </c>
    </row>
    <row r="33" spans="1:6" x14ac:dyDescent="0.3">
      <c r="A33" s="8" t="s">
        <v>15</v>
      </c>
      <c r="B33" s="17">
        <v>1155</v>
      </c>
      <c r="C33" s="17">
        <v>1092</v>
      </c>
      <c r="D33" s="17">
        <v>1137</v>
      </c>
      <c r="E33" s="17">
        <v>1900</v>
      </c>
      <c r="F33" s="17">
        <v>5284</v>
      </c>
    </row>
    <row r="34" spans="1:6" x14ac:dyDescent="0.3">
      <c r="A34" s="8" t="s">
        <v>568</v>
      </c>
      <c r="B34" s="17">
        <v>1980</v>
      </c>
      <c r="C34" s="17">
        <v>1814</v>
      </c>
      <c r="D34" s="17">
        <v>1786</v>
      </c>
      <c r="E34" s="17">
        <v>1495</v>
      </c>
      <c r="F34" s="17">
        <v>7075</v>
      </c>
    </row>
    <row r="35" spans="1:6" x14ac:dyDescent="0.3">
      <c r="A35" s="8" t="s">
        <v>122</v>
      </c>
      <c r="B35" s="17">
        <v>816</v>
      </c>
      <c r="C35" s="17">
        <v>1013</v>
      </c>
      <c r="D35" s="17">
        <v>1633</v>
      </c>
      <c r="E35" s="17">
        <v>891</v>
      </c>
      <c r="F35" s="17">
        <v>4353</v>
      </c>
    </row>
    <row r="36" spans="1:6" x14ac:dyDescent="0.3">
      <c r="A36" s="8" t="s">
        <v>569</v>
      </c>
      <c r="B36" s="17">
        <v>651</v>
      </c>
      <c r="C36" s="17">
        <v>1855</v>
      </c>
      <c r="D36" s="17">
        <v>118</v>
      </c>
      <c r="E36" s="17">
        <v>1331</v>
      </c>
      <c r="F36" s="17">
        <v>3955</v>
      </c>
    </row>
    <row r="37" spans="1:6" x14ac:dyDescent="0.3">
      <c r="A37" s="8" t="s">
        <v>570</v>
      </c>
      <c r="B37" s="17">
        <v>663</v>
      </c>
      <c r="C37" s="17">
        <v>1748</v>
      </c>
      <c r="D37" s="17">
        <v>1040</v>
      </c>
      <c r="E37" s="17">
        <v>1166</v>
      </c>
      <c r="F37" s="17">
        <v>4617</v>
      </c>
    </row>
    <row r="38" spans="1:6" x14ac:dyDescent="0.3">
      <c r="A38" s="8" t="s">
        <v>218</v>
      </c>
      <c r="B38" s="17">
        <v>1249</v>
      </c>
      <c r="C38" s="17">
        <v>115</v>
      </c>
      <c r="D38" s="17">
        <v>1501</v>
      </c>
      <c r="E38" s="17">
        <v>1411</v>
      </c>
      <c r="F38" s="17">
        <v>4276</v>
      </c>
    </row>
    <row r="39" spans="1:6" x14ac:dyDescent="0.3">
      <c r="A39" s="8" t="s">
        <v>571</v>
      </c>
      <c r="B39" s="17">
        <v>1159</v>
      </c>
      <c r="C39" s="17">
        <v>1556</v>
      </c>
      <c r="D39" s="17">
        <v>927</v>
      </c>
      <c r="E39" s="17">
        <v>152</v>
      </c>
      <c r="F39" s="17">
        <v>3794</v>
      </c>
    </row>
    <row r="40" spans="1:6" x14ac:dyDescent="0.3">
      <c r="A40" s="8" t="s">
        <v>243</v>
      </c>
      <c r="B40" s="17">
        <v>1294</v>
      </c>
      <c r="C40" s="17">
        <v>1957</v>
      </c>
      <c r="D40" s="17">
        <v>1587</v>
      </c>
      <c r="E40" s="17">
        <v>1707</v>
      </c>
      <c r="F40" s="17">
        <v>6545</v>
      </c>
    </row>
    <row r="41" spans="1:6" x14ac:dyDescent="0.3">
      <c r="A41" s="8" t="s">
        <v>124</v>
      </c>
      <c r="B41" s="17">
        <v>1895</v>
      </c>
      <c r="C41" s="17">
        <v>1138</v>
      </c>
      <c r="D41" s="17">
        <v>362</v>
      </c>
      <c r="E41" s="17">
        <v>1662</v>
      </c>
      <c r="F41" s="17">
        <v>5057</v>
      </c>
    </row>
    <row r="42" spans="1:6" x14ac:dyDescent="0.3">
      <c r="A42" s="8" t="s">
        <v>144</v>
      </c>
      <c r="B42" s="17">
        <v>1884</v>
      </c>
      <c r="C42" s="17">
        <v>1440</v>
      </c>
      <c r="D42" s="17">
        <v>861</v>
      </c>
      <c r="E42" s="17">
        <v>1063</v>
      </c>
      <c r="F42" s="17">
        <v>5248</v>
      </c>
    </row>
    <row r="43" spans="1:6" x14ac:dyDescent="0.3">
      <c r="A43" s="8" t="s">
        <v>192</v>
      </c>
      <c r="B43" s="17">
        <v>345</v>
      </c>
      <c r="C43" s="17">
        <v>1371</v>
      </c>
      <c r="D43" s="17">
        <v>946</v>
      </c>
      <c r="E43" s="17">
        <v>510</v>
      </c>
      <c r="F43" s="17">
        <v>3172</v>
      </c>
    </row>
    <row r="44" spans="1:6" x14ac:dyDescent="0.3">
      <c r="A44" s="8" t="s">
        <v>572</v>
      </c>
      <c r="B44" s="17">
        <v>1098</v>
      </c>
      <c r="C44" s="17">
        <v>393</v>
      </c>
      <c r="D44" s="17">
        <v>1399</v>
      </c>
      <c r="E44" s="17">
        <v>1658</v>
      </c>
      <c r="F44" s="17">
        <v>4548</v>
      </c>
    </row>
    <row r="45" spans="1:6" x14ac:dyDescent="0.3">
      <c r="A45" s="8" t="s">
        <v>573</v>
      </c>
      <c r="B45" s="17">
        <v>1358</v>
      </c>
      <c r="C45" s="17">
        <v>1102</v>
      </c>
      <c r="D45" s="17">
        <v>1077</v>
      </c>
      <c r="E45" s="17">
        <v>1596</v>
      </c>
      <c r="F45" s="17">
        <v>5133</v>
      </c>
    </row>
    <row r="46" spans="1:6" x14ac:dyDescent="0.3">
      <c r="A46" s="8" t="s">
        <v>228</v>
      </c>
      <c r="B46" s="17">
        <v>609</v>
      </c>
      <c r="C46" s="17">
        <v>490</v>
      </c>
      <c r="D46" s="17">
        <v>364</v>
      </c>
      <c r="E46" s="17">
        <v>442</v>
      </c>
      <c r="F46" s="17">
        <v>1905</v>
      </c>
    </row>
    <row r="47" spans="1:6" x14ac:dyDescent="0.3">
      <c r="A47" s="8" t="s">
        <v>574</v>
      </c>
      <c r="B47" s="17">
        <v>988</v>
      </c>
      <c r="C47" s="17">
        <v>1033</v>
      </c>
      <c r="D47" s="17">
        <v>1946</v>
      </c>
      <c r="E47" s="17">
        <v>1957</v>
      </c>
      <c r="F47" s="17">
        <v>5924</v>
      </c>
    </row>
    <row r="48" spans="1:6" x14ac:dyDescent="0.3">
      <c r="A48" s="8" t="s">
        <v>404</v>
      </c>
      <c r="B48" s="17">
        <v>1307</v>
      </c>
      <c r="C48" s="17">
        <v>559</v>
      </c>
      <c r="D48" s="17">
        <v>1432</v>
      </c>
      <c r="E48" s="17">
        <v>623</v>
      </c>
      <c r="F48" s="17">
        <v>3921</v>
      </c>
    </row>
    <row r="49" spans="1:6" x14ac:dyDescent="0.3">
      <c r="A49" s="8" t="s">
        <v>575</v>
      </c>
      <c r="B49" s="17">
        <v>198</v>
      </c>
      <c r="C49" s="17">
        <v>198</v>
      </c>
      <c r="D49" s="17">
        <v>353</v>
      </c>
      <c r="E49" s="17">
        <v>520</v>
      </c>
      <c r="F49" s="17">
        <v>1269</v>
      </c>
    </row>
    <row r="50" spans="1:6" x14ac:dyDescent="0.3">
      <c r="A50" s="8" t="s">
        <v>576</v>
      </c>
      <c r="B50" s="17">
        <v>1375</v>
      </c>
      <c r="C50" s="17">
        <v>961</v>
      </c>
      <c r="D50" s="17">
        <v>1147</v>
      </c>
      <c r="E50" s="17">
        <v>1707</v>
      </c>
      <c r="F50" s="17">
        <v>5190</v>
      </c>
    </row>
    <row r="51" spans="1:6" x14ac:dyDescent="0.3">
      <c r="A51" s="8" t="s">
        <v>356</v>
      </c>
      <c r="B51" s="17">
        <v>833</v>
      </c>
      <c r="C51" s="17">
        <v>1693</v>
      </c>
      <c r="D51" s="17">
        <v>1222</v>
      </c>
      <c r="E51" s="17">
        <v>777</v>
      </c>
      <c r="F51" s="17">
        <v>4525</v>
      </c>
    </row>
    <row r="52" spans="1:6" x14ac:dyDescent="0.3">
      <c r="A52" s="8" t="s">
        <v>77</v>
      </c>
      <c r="B52" s="17">
        <v>405</v>
      </c>
      <c r="C52" s="17">
        <v>1957</v>
      </c>
      <c r="D52" s="17">
        <v>1581</v>
      </c>
      <c r="E52" s="17">
        <v>1035</v>
      </c>
      <c r="F52" s="17">
        <v>4978</v>
      </c>
    </row>
    <row r="53" spans="1:6" x14ac:dyDescent="0.3">
      <c r="A53" s="8" t="s">
        <v>26</v>
      </c>
      <c r="B53" s="17">
        <v>837</v>
      </c>
      <c r="C53" s="17">
        <v>1765</v>
      </c>
      <c r="D53" s="17">
        <v>337</v>
      </c>
      <c r="E53" s="17">
        <v>119</v>
      </c>
      <c r="F53" s="17">
        <v>3058</v>
      </c>
    </row>
    <row r="54" spans="1:6" x14ac:dyDescent="0.3">
      <c r="A54" s="8" t="s">
        <v>604</v>
      </c>
      <c r="B54" s="17">
        <v>50862</v>
      </c>
      <c r="C54" s="17">
        <v>58311</v>
      </c>
      <c r="D54" s="17">
        <v>53484</v>
      </c>
      <c r="E54" s="17">
        <v>47471</v>
      </c>
      <c r="F54" s="17">
        <v>210128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opLeftCell="I1" zoomScale="70" zoomScaleNormal="70" workbookViewId="0">
      <selection activeCell="P1" sqref="P1:P1048576"/>
    </sheetView>
  </sheetViews>
  <sheetFormatPr defaultColWidth="14.44140625" defaultRowHeight="15" customHeight="1" x14ac:dyDescent="0.3"/>
  <cols>
    <col min="1" max="1" width="9" style="5" customWidth="1"/>
    <col min="2" max="2" width="19.33203125" style="5" customWidth="1"/>
    <col min="3" max="3" width="15.33203125" style="5" customWidth="1"/>
    <col min="4" max="4" width="14.77734375" style="5" customWidth="1"/>
    <col min="5" max="5" width="41.33203125" style="5" customWidth="1"/>
    <col min="6" max="6" width="8.6640625" style="5" customWidth="1"/>
    <col min="7" max="7" width="8.77734375" style="5" customWidth="1"/>
    <col min="8" max="8" width="12.5546875" style="5" customWidth="1"/>
    <col min="9" max="9" width="14.44140625" style="5" customWidth="1"/>
    <col min="10" max="11" width="8.6640625" style="5" customWidth="1"/>
    <col min="12" max="12" width="36" style="5" customWidth="1"/>
    <col min="13" max="13" width="20.44140625" style="5" customWidth="1"/>
    <col min="14" max="14" width="19.33203125" customWidth="1"/>
    <col min="15" max="15" width="16.77734375" customWidth="1"/>
    <col min="16" max="16" width="16.88671875" customWidth="1"/>
    <col min="17" max="24" width="8.6640625" customWidth="1"/>
  </cols>
  <sheetData>
    <row r="1" spans="1:16" ht="14.4" x14ac:dyDescent="0.3">
      <c r="A1" s="3" t="s">
        <v>0</v>
      </c>
      <c r="B1" s="6" t="s">
        <v>598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618</v>
      </c>
      <c r="N1" t="s">
        <v>602</v>
      </c>
      <c r="O1" s="9"/>
      <c r="P1" t="s">
        <v>619</v>
      </c>
    </row>
    <row r="2" spans="1:16" ht="14.4" x14ac:dyDescent="0.3">
      <c r="A2" s="4" t="s">
        <v>520</v>
      </c>
      <c r="B2" s="4" t="s">
        <v>599</v>
      </c>
      <c r="C2" s="4" t="s">
        <v>190</v>
      </c>
      <c r="D2" s="4" t="s">
        <v>50</v>
      </c>
      <c r="E2" s="4" t="s">
        <v>51</v>
      </c>
      <c r="F2" s="4">
        <v>4905</v>
      </c>
      <c r="G2" s="4">
        <v>845</v>
      </c>
      <c r="H2" s="4">
        <v>129</v>
      </c>
      <c r="I2" s="4">
        <v>98100</v>
      </c>
      <c r="J2" s="4">
        <v>97772</v>
      </c>
      <c r="K2" s="4">
        <v>279</v>
      </c>
      <c r="L2" s="4" t="s">
        <v>28</v>
      </c>
      <c r="M2" s="4"/>
      <c r="N2">
        <v>1.01331669598658</v>
      </c>
      <c r="O2" s="5"/>
      <c r="P2" t="str">
        <f>IF(AND(C2 &gt;= 'Campaign Metadata'!B$2, C2 &lt;= 'Campaign Metadata'!C$2), 'Campaign Metadata'!A$2,
 IF(AND(C2 &gt;= 'Campaign Metadata'!B$3, C2 &lt;= 'Campaign Metadata'!C$3), 'Campaign Metadata'!A$3,
 IF(AND(C2 &gt;= 'Campaign Metadata'!B$4, C2 &lt;= 'Campaign Metadata'!C$4), 'Campaign Metadata'!A$4,
 IF(AND(C2 &gt;= 'Campaign Metadata'!B$5, C2 &lt;= 'Campaign Metadata'!C$5), 'Campaign Metadata'!A$5, "No Campaign"))))</f>
        <v>No Campaign</v>
      </c>
    </row>
    <row r="3" spans="1:16" ht="14.4" x14ac:dyDescent="0.3">
      <c r="A3" s="4" t="s">
        <v>314</v>
      </c>
      <c r="B3" s="4" t="s">
        <v>599</v>
      </c>
      <c r="C3" s="4" t="s">
        <v>196</v>
      </c>
      <c r="D3" s="4" t="s">
        <v>33</v>
      </c>
      <c r="E3" s="4" t="s">
        <v>151</v>
      </c>
      <c r="F3" s="4">
        <v>4929</v>
      </c>
      <c r="G3" s="4">
        <v>749</v>
      </c>
      <c r="H3" s="4">
        <v>452</v>
      </c>
      <c r="I3" s="4">
        <v>93651</v>
      </c>
      <c r="J3" s="4">
        <v>92810</v>
      </c>
      <c r="K3" s="4">
        <v>66</v>
      </c>
      <c r="L3" s="4" t="s">
        <v>35</v>
      </c>
      <c r="M3" s="4"/>
      <c r="N3">
        <v>1.0220019394461799</v>
      </c>
      <c r="P3" t="str">
        <f>IF(AND(C3 &gt;= 'Campaign Metadata'!B$2, C3 &lt;= 'Campaign Metadata'!C$2), 'Campaign Metadata'!A$2,
 IF(AND(C3 &gt;= 'Campaign Metadata'!B$3, C3 &lt;= 'Campaign Metadata'!C$3), 'Campaign Metadata'!A$3,
 IF(AND(C3 &gt;= 'Campaign Metadata'!B$4, C3 &lt;= 'Campaign Metadata'!C$4), 'Campaign Metadata'!A$4,
 IF(AND(C3 &gt;= 'Campaign Metadata'!B$5, C3 &lt;= 'Campaign Metadata'!C$5), 'Campaign Metadata'!A$5, "No Campaign"))))</f>
        <v>ModelYCampaign</v>
      </c>
    </row>
    <row r="4" spans="1:16" ht="14.4" x14ac:dyDescent="0.3">
      <c r="A4" s="4" t="s">
        <v>429</v>
      </c>
      <c r="B4" s="4" t="s">
        <v>41</v>
      </c>
      <c r="C4" s="4" t="s">
        <v>354</v>
      </c>
      <c r="D4" s="4" t="s">
        <v>50</v>
      </c>
      <c r="E4" s="4" t="s">
        <v>57</v>
      </c>
      <c r="F4" s="4">
        <v>4606</v>
      </c>
      <c r="G4" s="4">
        <v>931</v>
      </c>
      <c r="H4" s="4">
        <v>230</v>
      </c>
      <c r="I4" s="4">
        <v>92120</v>
      </c>
      <c r="J4" s="4">
        <v>91440</v>
      </c>
      <c r="K4" s="4">
        <v>56</v>
      </c>
      <c r="L4" s="4" t="s">
        <v>28</v>
      </c>
      <c r="N4">
        <v>1.0201334208223971</v>
      </c>
      <c r="P4" t="str">
        <f>IF(AND(C4 &gt;= 'Campaign Metadata'!B$2, C4 &lt;= 'Campaign Metadata'!C$2), 'Campaign Metadata'!A$2,
 IF(AND(C4 &gt;= 'Campaign Metadata'!B$3, C4 &lt;= 'Campaign Metadata'!C$3), 'Campaign Metadata'!A$3,
 IF(AND(C4 &gt;= 'Campaign Metadata'!B$4, C4 &lt;= 'Campaign Metadata'!C$4), 'Campaign Metadata'!A$4,
 IF(AND(C4 &gt;= 'Campaign Metadata'!B$5, C4 &lt;= 'Campaign Metadata'!C$5), 'Campaign Metadata'!A$5, "No Campaign"))))</f>
        <v>No Campaign</v>
      </c>
    </row>
    <row r="5" spans="1:16" ht="14.4" x14ac:dyDescent="0.3">
      <c r="A5" s="4" t="s">
        <v>255</v>
      </c>
      <c r="B5" s="4" t="s">
        <v>599</v>
      </c>
      <c r="C5" s="4" t="s">
        <v>256</v>
      </c>
      <c r="D5" s="4" t="s">
        <v>50</v>
      </c>
      <c r="E5" s="4" t="s">
        <v>51</v>
      </c>
      <c r="F5" s="4">
        <v>4832</v>
      </c>
      <c r="G5" s="4">
        <v>893</v>
      </c>
      <c r="H5" s="4">
        <v>10</v>
      </c>
      <c r="I5" s="4">
        <v>91808</v>
      </c>
      <c r="J5" s="4">
        <v>91296</v>
      </c>
      <c r="K5" s="4">
        <v>182</v>
      </c>
      <c r="L5" s="4" t="s">
        <v>28</v>
      </c>
      <c r="N5">
        <v>1.0154990361023484</v>
      </c>
      <c r="P5" t="str">
        <f>IF(AND(C5 &gt;= 'Campaign Metadata'!B$2, C5 &lt;= 'Campaign Metadata'!C$2), 'Campaign Metadata'!A$2,
 IF(AND(C5 &gt;= 'Campaign Metadata'!B$3, C5 &lt;= 'Campaign Metadata'!C$3), 'Campaign Metadata'!A$3,
 IF(AND(C5 &gt;= 'Campaign Metadata'!B$4, C5 &lt;= 'Campaign Metadata'!C$4), 'Campaign Metadata'!A$4,
 IF(AND(C5 &gt;= 'Campaign Metadata'!B$5, C5 &lt;= 'Campaign Metadata'!C$5), 'Campaign Metadata'!A$5, "No Campaign"))))</f>
        <v>CybertruckLaunch</v>
      </c>
    </row>
    <row r="6" spans="1:16" ht="14.4" x14ac:dyDescent="0.3">
      <c r="A6" s="4" t="s">
        <v>175</v>
      </c>
      <c r="B6" s="4" t="s">
        <v>14</v>
      </c>
      <c r="C6" s="4" t="s">
        <v>112</v>
      </c>
      <c r="D6" s="4" t="s">
        <v>43</v>
      </c>
      <c r="E6" s="4" t="s">
        <v>47</v>
      </c>
      <c r="F6" s="4">
        <v>4507</v>
      </c>
      <c r="G6" s="4">
        <v>217</v>
      </c>
      <c r="H6" s="4">
        <v>13</v>
      </c>
      <c r="I6" s="4">
        <v>90140</v>
      </c>
      <c r="J6" s="4">
        <v>89591</v>
      </c>
      <c r="K6" s="4">
        <v>125</v>
      </c>
      <c r="L6" s="4" t="s">
        <v>60</v>
      </c>
      <c r="M6" s="4"/>
      <c r="N6">
        <v>1.0086950698172807</v>
      </c>
      <c r="P6" t="str">
        <f>IF(AND(C6 &gt;= 'Campaign Metadata'!B$2, C6 &lt;= 'Campaign Metadata'!C$2), 'Campaign Metadata'!A$2,
 IF(AND(C6 &gt;= 'Campaign Metadata'!B$3, C6 &lt;= 'Campaign Metadata'!C$3), 'Campaign Metadata'!A$3,
 IF(AND(C6 &gt;= 'Campaign Metadata'!B$4, C6 &lt;= 'Campaign Metadata'!C$4), 'Campaign Metadata'!A$4,
 IF(AND(C6 &gt;= 'Campaign Metadata'!B$5, C6 &lt;= 'Campaign Metadata'!C$5), 'Campaign Metadata'!A$5, "No Campaign"))))</f>
        <v>No Campaign</v>
      </c>
    </row>
    <row r="7" spans="1:16" ht="14.4" x14ac:dyDescent="0.3">
      <c r="A7" s="4" t="s">
        <v>439</v>
      </c>
      <c r="B7" s="4" t="s">
        <v>14</v>
      </c>
      <c r="C7" s="4" t="s">
        <v>367</v>
      </c>
      <c r="D7" s="4" t="s">
        <v>43</v>
      </c>
      <c r="E7" s="4" t="s">
        <v>47</v>
      </c>
      <c r="F7" s="4">
        <v>4672</v>
      </c>
      <c r="G7" s="4">
        <v>325</v>
      </c>
      <c r="H7" s="4">
        <v>32</v>
      </c>
      <c r="I7" s="4">
        <v>88768</v>
      </c>
      <c r="J7" s="4">
        <v>87833</v>
      </c>
      <c r="K7" s="4">
        <v>118</v>
      </c>
      <c r="L7" s="4" t="s">
        <v>35</v>
      </c>
      <c r="N7">
        <v>1.0147097332437693</v>
      </c>
      <c r="P7" t="str">
        <f>IF(AND(C7 &gt;= 'Campaign Metadata'!B$2, C7 &lt;= 'Campaign Metadata'!C$2), 'Campaign Metadata'!A$2,
 IF(AND(C7 &gt;= 'Campaign Metadata'!B$3, C7 &lt;= 'Campaign Metadata'!C$3), 'Campaign Metadata'!A$3,
 IF(AND(C7 &gt;= 'Campaign Metadata'!B$4, C7 &lt;= 'Campaign Metadata'!C$4), 'Campaign Metadata'!A$4,
 IF(AND(C7 &gt;= 'Campaign Metadata'!B$5, C7 &lt;= 'Campaign Metadata'!C$5), 'Campaign Metadata'!A$5, "No Campaign"))))</f>
        <v>CybertruckLaunch</v>
      </c>
    </row>
    <row r="8" spans="1:16" ht="14.4" x14ac:dyDescent="0.3">
      <c r="A8" s="4" t="s">
        <v>399</v>
      </c>
      <c r="B8" s="4" t="s">
        <v>14</v>
      </c>
      <c r="C8" s="4" t="s">
        <v>333</v>
      </c>
      <c r="D8" s="4" t="s">
        <v>16</v>
      </c>
      <c r="E8" s="4" t="s">
        <v>17</v>
      </c>
      <c r="F8" s="4">
        <v>4782</v>
      </c>
      <c r="G8" s="4">
        <v>721</v>
      </c>
      <c r="H8" s="4">
        <v>82</v>
      </c>
      <c r="I8" s="4">
        <v>86076</v>
      </c>
      <c r="J8" s="4">
        <v>85339</v>
      </c>
      <c r="K8" s="4">
        <v>19</v>
      </c>
      <c r="L8" s="4" t="s">
        <v>35</v>
      </c>
      <c r="M8" s="4"/>
      <c r="N8">
        <v>1.0180456766542847</v>
      </c>
      <c r="P8" t="str">
        <f>IF(AND(C8 &gt;= 'Campaign Metadata'!B$2, C8 &lt;= 'Campaign Metadata'!C$2), 'Campaign Metadata'!A$2,
 IF(AND(C8 &gt;= 'Campaign Metadata'!B$3, C8 &lt;= 'Campaign Metadata'!C$3), 'Campaign Metadata'!A$3,
 IF(AND(C8 &gt;= 'Campaign Metadata'!B$4, C8 &lt;= 'Campaign Metadata'!C$4), 'Campaign Metadata'!A$4,
 IF(AND(C8 &gt;= 'Campaign Metadata'!B$5, C8 &lt;= 'Campaign Metadata'!C$5), 'Campaign Metadata'!A$5, "No Campaign"))))</f>
        <v>ModelYCampaign</v>
      </c>
    </row>
    <row r="9" spans="1:16" ht="14.4" x14ac:dyDescent="0.3">
      <c r="A9" s="4" t="s">
        <v>550</v>
      </c>
      <c r="B9" s="4" t="s">
        <v>41</v>
      </c>
      <c r="C9" s="4" t="s">
        <v>71</v>
      </c>
      <c r="D9" s="4" t="s">
        <v>50</v>
      </c>
      <c r="E9" s="4" t="s">
        <v>57</v>
      </c>
      <c r="F9" s="4">
        <v>4303</v>
      </c>
      <c r="G9" s="4">
        <v>451</v>
      </c>
      <c r="H9" s="4">
        <v>286</v>
      </c>
      <c r="I9" s="4">
        <v>86060</v>
      </c>
      <c r="J9" s="4">
        <v>85823</v>
      </c>
      <c r="K9" s="4">
        <v>14</v>
      </c>
      <c r="L9" s="4" t="s">
        <v>28</v>
      </c>
      <c r="M9" s="4"/>
      <c r="N9">
        <v>1.0113489390955805</v>
      </c>
      <c r="P9" t="str">
        <f>IF(AND(C9 &gt;= 'Campaign Metadata'!B$2, C9 &lt;= 'Campaign Metadata'!C$2), 'Campaign Metadata'!A$2,
 IF(AND(C9 &gt;= 'Campaign Metadata'!B$3, C9 &lt;= 'Campaign Metadata'!C$3), 'Campaign Metadata'!A$3,
 IF(AND(C9 &gt;= 'Campaign Metadata'!B$4, C9 &lt;= 'Campaign Metadata'!C$4), 'Campaign Metadata'!A$4,
 IF(AND(C9 &gt;= 'Campaign Metadata'!B$5, C9 &lt;= 'Campaign Metadata'!C$5), 'Campaign Metadata'!A$5, "No Campaign"))))</f>
        <v>ModelYCampaign</v>
      </c>
    </row>
    <row r="10" spans="1:16" ht="14.4" x14ac:dyDescent="0.3">
      <c r="A10" s="4" t="s">
        <v>533</v>
      </c>
      <c r="B10" s="4" t="s">
        <v>599</v>
      </c>
      <c r="C10" s="4" t="s">
        <v>534</v>
      </c>
      <c r="D10" s="4" t="s">
        <v>43</v>
      </c>
      <c r="E10" s="4" t="s">
        <v>66</v>
      </c>
      <c r="F10" s="4">
        <v>4780</v>
      </c>
      <c r="G10" s="4">
        <v>691</v>
      </c>
      <c r="H10" s="4">
        <v>380</v>
      </c>
      <c r="I10" s="4">
        <v>86040</v>
      </c>
      <c r="J10" s="4">
        <v>85743</v>
      </c>
      <c r="K10" s="4">
        <v>262</v>
      </c>
      <c r="L10" s="4" t="s">
        <v>60</v>
      </c>
      <c r="M10" s="4"/>
      <c r="N10">
        <v>1.0159546551905112</v>
      </c>
      <c r="P10" t="str">
        <f>IF(AND(C10 &gt;= 'Campaign Metadata'!B$2, C10 &lt;= 'Campaign Metadata'!C$2), 'Campaign Metadata'!A$2,
 IF(AND(C10 &gt;= 'Campaign Metadata'!B$3, C10 &lt;= 'Campaign Metadata'!C$3), 'Campaign Metadata'!A$3,
 IF(AND(C10 &gt;= 'Campaign Metadata'!B$4, C10 &lt;= 'Campaign Metadata'!C$4), 'Campaign Metadata'!A$4,
 IF(AND(C10 &gt;= 'Campaign Metadata'!B$5, C10 &lt;= 'Campaign Metadata'!C$5), 'Campaign Metadata'!A$5, "No Campaign"))))</f>
        <v>No Campaign</v>
      </c>
    </row>
    <row r="11" spans="1:16" ht="14.4" x14ac:dyDescent="0.3">
      <c r="A11" s="4" t="s">
        <v>322</v>
      </c>
      <c r="B11" s="4" t="s">
        <v>599</v>
      </c>
      <c r="C11" s="4" t="s">
        <v>323</v>
      </c>
      <c r="D11" s="4" t="s">
        <v>43</v>
      </c>
      <c r="E11" s="4" t="s">
        <v>66</v>
      </c>
      <c r="F11" s="4">
        <v>4295</v>
      </c>
      <c r="G11" s="4">
        <v>853</v>
      </c>
      <c r="H11" s="4">
        <v>325</v>
      </c>
      <c r="I11" s="4">
        <v>85900</v>
      </c>
      <c r="J11" s="4">
        <v>85788</v>
      </c>
      <c r="K11" s="4">
        <v>290</v>
      </c>
      <c r="L11" s="4" t="s">
        <v>28</v>
      </c>
      <c r="M11" s="4"/>
      <c r="N11">
        <v>1.0150370681214156</v>
      </c>
      <c r="P11" t="str">
        <f>IF(AND(C11 &gt;= 'Campaign Metadata'!B$2, C11 &lt;= 'Campaign Metadata'!C$2), 'Campaign Metadata'!A$2,
 IF(AND(C11 &gt;= 'Campaign Metadata'!B$3, C11 &lt;= 'Campaign Metadata'!C$3), 'Campaign Metadata'!A$3,
 IF(AND(C11 &gt;= 'Campaign Metadata'!B$4, C11 &lt;= 'Campaign Metadata'!C$4), 'Campaign Metadata'!A$4,
 IF(AND(C11 &gt;= 'Campaign Metadata'!B$5, C11 &lt;= 'Campaign Metadata'!C$5), 'Campaign Metadata'!A$5, "No Campaign"))))</f>
        <v>No Campaign</v>
      </c>
    </row>
    <row r="12" spans="1:16" ht="14.4" x14ac:dyDescent="0.3">
      <c r="A12" s="4" t="s">
        <v>182</v>
      </c>
      <c r="B12" s="4" t="s">
        <v>41</v>
      </c>
      <c r="C12" s="4" t="s">
        <v>183</v>
      </c>
      <c r="D12" s="4" t="s">
        <v>43</v>
      </c>
      <c r="E12" s="4" t="s">
        <v>44</v>
      </c>
      <c r="F12" s="4">
        <v>4712</v>
      </c>
      <c r="G12" s="4">
        <v>568</v>
      </c>
      <c r="H12" s="4">
        <v>127</v>
      </c>
      <c r="I12" s="4">
        <v>84816</v>
      </c>
      <c r="J12" s="4">
        <v>84691</v>
      </c>
      <c r="K12" s="4">
        <v>100</v>
      </c>
      <c r="L12" s="4" t="s">
        <v>35</v>
      </c>
      <c r="M12" s="4"/>
      <c r="N12">
        <v>1.0096822566742629</v>
      </c>
      <c r="P12" t="str">
        <f>IF(AND(C12 &gt;= 'Campaign Metadata'!B$2, C12 &lt;= 'Campaign Metadata'!C$2), 'Campaign Metadata'!A$2,
 IF(AND(C12 &gt;= 'Campaign Metadata'!B$3, C12 &lt;= 'Campaign Metadata'!C$3), 'Campaign Metadata'!A$3,
 IF(AND(C12 &gt;= 'Campaign Metadata'!B$4, C12 &lt;= 'Campaign Metadata'!C$4), 'Campaign Metadata'!A$4,
 IF(AND(C12 &gt;= 'Campaign Metadata'!B$5, C12 &lt;= 'Campaign Metadata'!C$5), 'Campaign Metadata'!A$5, "No Campaign"))))</f>
        <v>SustainabilityDrive</v>
      </c>
    </row>
    <row r="13" spans="1:16" ht="14.4" x14ac:dyDescent="0.3">
      <c r="A13" s="4" t="s">
        <v>426</v>
      </c>
      <c r="B13" s="4" t="s">
        <v>41</v>
      </c>
      <c r="C13" s="4" t="s">
        <v>427</v>
      </c>
      <c r="D13" s="4" t="s">
        <v>50</v>
      </c>
      <c r="E13" s="4" t="s">
        <v>57</v>
      </c>
      <c r="F13" s="4">
        <v>4872</v>
      </c>
      <c r="G13" s="4">
        <v>925</v>
      </c>
      <c r="H13" s="4">
        <v>176</v>
      </c>
      <c r="I13" s="4">
        <v>82824</v>
      </c>
      <c r="J13" s="4">
        <v>82543</v>
      </c>
      <c r="K13" s="4">
        <v>89</v>
      </c>
      <c r="L13" s="4" t="s">
        <v>35</v>
      </c>
      <c r="M13" s="4"/>
      <c r="N13">
        <v>1.0167427886071503</v>
      </c>
      <c r="P13" t="str">
        <f>IF(AND(C13 &gt;= 'Campaign Metadata'!B$2, C13 &lt;= 'Campaign Metadata'!C$2), 'Campaign Metadata'!A$2,
 IF(AND(C13 &gt;= 'Campaign Metadata'!B$3, C13 &lt;= 'Campaign Metadata'!C$3), 'Campaign Metadata'!A$3,
 IF(AND(C13 &gt;= 'Campaign Metadata'!B$4, C13 &lt;= 'Campaign Metadata'!C$4), 'Campaign Metadata'!A$4,
 IF(AND(C13 &gt;= 'Campaign Metadata'!B$5, C13 &lt;= 'Campaign Metadata'!C$5), 'Campaign Metadata'!A$5, "No Campaign"))))</f>
        <v>No Campaign</v>
      </c>
    </row>
    <row r="14" spans="1:16" ht="14.4" x14ac:dyDescent="0.3">
      <c r="A14" s="4" t="s">
        <v>193</v>
      </c>
      <c r="B14" s="4" t="s">
        <v>41</v>
      </c>
      <c r="C14" s="4" t="s">
        <v>194</v>
      </c>
      <c r="D14" s="4" t="s">
        <v>33</v>
      </c>
      <c r="E14" s="4" t="s">
        <v>69</v>
      </c>
      <c r="F14" s="4">
        <v>4126</v>
      </c>
      <c r="G14" s="4">
        <v>426</v>
      </c>
      <c r="H14" s="4">
        <v>486</v>
      </c>
      <c r="I14" s="4">
        <v>78394</v>
      </c>
      <c r="J14" s="4">
        <v>77798</v>
      </c>
      <c r="K14" s="4">
        <v>88</v>
      </c>
      <c r="L14" s="4" t="s">
        <v>60</v>
      </c>
      <c r="M14" s="4"/>
      <c r="N14">
        <v>1.0193835317103268</v>
      </c>
      <c r="P14" t="str">
        <f>IF(AND(C14 &gt;= 'Campaign Metadata'!B$2, C14 &lt;= 'Campaign Metadata'!C$2), 'Campaign Metadata'!A$2,
 IF(AND(C14 &gt;= 'Campaign Metadata'!B$3, C14 &lt;= 'Campaign Metadata'!C$3), 'Campaign Metadata'!A$3,
 IF(AND(C14 &gt;= 'Campaign Metadata'!B$4, C14 &lt;= 'Campaign Metadata'!C$4), 'Campaign Metadata'!A$4,
 IF(AND(C14 &gt;= 'Campaign Metadata'!B$5, C14 &lt;= 'Campaign Metadata'!C$5), 'Campaign Metadata'!A$5, "No Campaign"))))</f>
        <v>ModelYCampaign</v>
      </c>
    </row>
    <row r="15" spans="1:16" ht="14.4" x14ac:dyDescent="0.3">
      <c r="A15" s="4" t="s">
        <v>70</v>
      </c>
      <c r="B15" s="4" t="s">
        <v>41</v>
      </c>
      <c r="C15" s="4" t="s">
        <v>71</v>
      </c>
      <c r="D15" s="4" t="s">
        <v>72</v>
      </c>
      <c r="E15" s="4" t="s">
        <v>73</v>
      </c>
      <c r="F15" s="4">
        <v>3888</v>
      </c>
      <c r="G15" s="4">
        <v>604</v>
      </c>
      <c r="H15" s="4">
        <v>128</v>
      </c>
      <c r="I15" s="4">
        <v>77760</v>
      </c>
      <c r="J15" s="4">
        <v>77167</v>
      </c>
      <c r="K15" s="4">
        <v>20</v>
      </c>
      <c r="L15" s="4" t="s">
        <v>60</v>
      </c>
      <c r="M15" s="4"/>
      <c r="N15">
        <v>1.0171705521790402</v>
      </c>
      <c r="P15" t="str">
        <f>IF(AND(C15 &gt;= 'Campaign Metadata'!B$2, C15 &lt;= 'Campaign Metadata'!C$2), 'Campaign Metadata'!A$2,
 IF(AND(C15 &gt;= 'Campaign Metadata'!B$3, C15 &lt;= 'Campaign Metadata'!C$3), 'Campaign Metadata'!A$3,
 IF(AND(C15 &gt;= 'Campaign Metadata'!B$4, C15 &lt;= 'Campaign Metadata'!C$4), 'Campaign Metadata'!A$4,
 IF(AND(C15 &gt;= 'Campaign Metadata'!B$5, C15 &lt;= 'Campaign Metadata'!C$5), 'Campaign Metadata'!A$5, "No Campaign"))))</f>
        <v>ModelYCampaign</v>
      </c>
    </row>
    <row r="16" spans="1:16" ht="14.4" x14ac:dyDescent="0.3">
      <c r="A16" s="4" t="s">
        <v>84</v>
      </c>
      <c r="B16" s="4" t="s">
        <v>31</v>
      </c>
      <c r="C16" s="4" t="s">
        <v>85</v>
      </c>
      <c r="D16" s="4" t="s">
        <v>43</v>
      </c>
      <c r="E16" s="4" t="s">
        <v>86</v>
      </c>
      <c r="F16" s="4">
        <v>4054</v>
      </c>
      <c r="G16" s="4">
        <v>488</v>
      </c>
      <c r="H16" s="4">
        <v>373</v>
      </c>
      <c r="I16" s="4">
        <v>77026</v>
      </c>
      <c r="J16" s="4">
        <v>76881</v>
      </c>
      <c r="K16" s="4">
        <v>25</v>
      </c>
      <c r="L16" s="4" t="s">
        <v>28</v>
      </c>
      <c r="M16" s="4"/>
      <c r="N16">
        <v>1.013085157581197</v>
      </c>
      <c r="P16" t="str">
        <f>IF(AND(C16 &gt;= 'Campaign Metadata'!B$2, C16 &lt;= 'Campaign Metadata'!C$2), 'Campaign Metadata'!A$2,
 IF(AND(C16 &gt;= 'Campaign Metadata'!B$3, C16 &lt;= 'Campaign Metadata'!C$3), 'Campaign Metadata'!A$3,
 IF(AND(C16 &gt;= 'Campaign Metadata'!B$4, C16 &lt;= 'Campaign Metadata'!C$4), 'Campaign Metadata'!A$4,
 IF(AND(C16 &gt;= 'Campaign Metadata'!B$5, C16 &lt;= 'Campaign Metadata'!C$5), 'Campaign Metadata'!A$5, "No Campaign"))))</f>
        <v>No Campaign</v>
      </c>
    </row>
    <row r="17" spans="1:16" ht="14.4" x14ac:dyDescent="0.3">
      <c r="A17" s="4" t="s">
        <v>366</v>
      </c>
      <c r="B17" s="4" t="s">
        <v>41</v>
      </c>
      <c r="C17" s="4" t="s">
        <v>367</v>
      </c>
      <c r="D17" s="4" t="s">
        <v>72</v>
      </c>
      <c r="E17" s="4" t="s">
        <v>73</v>
      </c>
      <c r="F17" s="4">
        <v>3798</v>
      </c>
      <c r="G17" s="4">
        <v>31</v>
      </c>
      <c r="H17" s="4">
        <v>279</v>
      </c>
      <c r="I17" s="4">
        <v>75960</v>
      </c>
      <c r="J17" s="4">
        <v>75813</v>
      </c>
      <c r="K17" s="4">
        <v>266</v>
      </c>
      <c r="L17" s="4" t="s">
        <v>28</v>
      </c>
      <c r="M17" s="4"/>
      <c r="N17">
        <v>1.0060279899225726</v>
      </c>
      <c r="P17" t="str">
        <f>IF(AND(C17 &gt;= 'Campaign Metadata'!B$2, C17 &lt;= 'Campaign Metadata'!C$2), 'Campaign Metadata'!A$2,
 IF(AND(C17 &gt;= 'Campaign Metadata'!B$3, C17 &lt;= 'Campaign Metadata'!C$3), 'Campaign Metadata'!A$3,
 IF(AND(C17 &gt;= 'Campaign Metadata'!B$4, C17 &lt;= 'Campaign Metadata'!C$4), 'Campaign Metadata'!A$4,
 IF(AND(C17 &gt;= 'Campaign Metadata'!B$5, C17 &lt;= 'Campaign Metadata'!C$5), 'Campaign Metadata'!A$5, "No Campaign"))))</f>
        <v>CybertruckLaunch</v>
      </c>
    </row>
    <row r="18" spans="1:16" ht="14.4" x14ac:dyDescent="0.3">
      <c r="A18" s="4" t="s">
        <v>300</v>
      </c>
      <c r="B18" s="4" t="s">
        <v>41</v>
      </c>
      <c r="C18" s="4" t="s">
        <v>301</v>
      </c>
      <c r="D18" s="4" t="s">
        <v>21</v>
      </c>
      <c r="E18" s="4" t="s">
        <v>54</v>
      </c>
      <c r="F18" s="4">
        <v>4213</v>
      </c>
      <c r="G18" s="4">
        <v>253</v>
      </c>
      <c r="H18" s="4">
        <v>434</v>
      </c>
      <c r="I18" s="4">
        <v>75834</v>
      </c>
      <c r="J18" s="4">
        <v>75437</v>
      </c>
      <c r="K18" s="4">
        <v>272</v>
      </c>
      <c r="L18" s="4" t="s">
        <v>60</v>
      </c>
      <c r="M18" s="4"/>
      <c r="N18">
        <v>1.0143696064265546</v>
      </c>
      <c r="P18" t="str">
        <f>IF(AND(C18 &gt;= 'Campaign Metadata'!B$2, C18 &lt;= 'Campaign Metadata'!C$2), 'Campaign Metadata'!A$2,
 IF(AND(C18 &gt;= 'Campaign Metadata'!B$3, C18 &lt;= 'Campaign Metadata'!C$3), 'Campaign Metadata'!A$3,
 IF(AND(C18 &gt;= 'Campaign Metadata'!B$4, C18 &lt;= 'Campaign Metadata'!C$4), 'Campaign Metadata'!A$4,
 IF(AND(C18 &gt;= 'Campaign Metadata'!B$5, C18 &lt;= 'Campaign Metadata'!C$5), 'Campaign Metadata'!A$5, "No Campaign"))))</f>
        <v>No Campaign</v>
      </c>
    </row>
    <row r="19" spans="1:16" ht="14.4" x14ac:dyDescent="0.3">
      <c r="A19" s="4" t="s">
        <v>244</v>
      </c>
      <c r="B19" s="4" t="s">
        <v>599</v>
      </c>
      <c r="C19" s="4" t="s">
        <v>194</v>
      </c>
      <c r="D19" s="4" t="s">
        <v>72</v>
      </c>
      <c r="E19" s="4" t="s">
        <v>213</v>
      </c>
      <c r="F19" s="4">
        <v>4450</v>
      </c>
      <c r="G19" s="4">
        <v>983</v>
      </c>
      <c r="H19" s="4">
        <v>143</v>
      </c>
      <c r="I19" s="4">
        <v>75650</v>
      </c>
      <c r="J19" s="4">
        <v>75008</v>
      </c>
      <c r="K19" s="4">
        <v>12</v>
      </c>
      <c r="L19" s="4" t="s">
        <v>60</v>
      </c>
      <c r="M19" s="4"/>
      <c r="N19">
        <v>1.023570819112628</v>
      </c>
      <c r="P19" t="str">
        <f>IF(AND(C19 &gt;= 'Campaign Metadata'!B$2, C19 &lt;= 'Campaign Metadata'!C$2), 'Campaign Metadata'!A$2,
 IF(AND(C19 &gt;= 'Campaign Metadata'!B$3, C19 &lt;= 'Campaign Metadata'!C$3), 'Campaign Metadata'!A$3,
 IF(AND(C19 &gt;= 'Campaign Metadata'!B$4, C19 &lt;= 'Campaign Metadata'!C$4), 'Campaign Metadata'!A$4,
 IF(AND(C19 &gt;= 'Campaign Metadata'!B$5, C19 &lt;= 'Campaign Metadata'!C$5), 'Campaign Metadata'!A$5, "No Campaign"))))</f>
        <v>ModelYCampaign</v>
      </c>
    </row>
    <row r="20" spans="1:16" ht="14.4" x14ac:dyDescent="0.3">
      <c r="A20" s="4" t="s">
        <v>457</v>
      </c>
      <c r="B20" s="4" t="s">
        <v>14</v>
      </c>
      <c r="C20" s="4" t="s">
        <v>458</v>
      </c>
      <c r="D20" s="4" t="s">
        <v>21</v>
      </c>
      <c r="E20" s="4" t="s">
        <v>22</v>
      </c>
      <c r="F20" s="4">
        <v>4725</v>
      </c>
      <c r="G20" s="4">
        <v>400</v>
      </c>
      <c r="H20" s="4">
        <v>362</v>
      </c>
      <c r="I20" s="4">
        <v>75600</v>
      </c>
      <c r="J20" s="4">
        <v>74927</v>
      </c>
      <c r="K20" s="4">
        <v>43</v>
      </c>
      <c r="L20" s="4" t="s">
        <v>60</v>
      </c>
      <c r="M20" s="4"/>
      <c r="N20">
        <v>1.0191519745885995</v>
      </c>
      <c r="P20" t="str">
        <f>IF(AND(C20 &gt;= 'Campaign Metadata'!B$2, C20 &lt;= 'Campaign Metadata'!C$2), 'Campaign Metadata'!A$2,
 IF(AND(C20 &gt;= 'Campaign Metadata'!B$3, C20 &lt;= 'Campaign Metadata'!C$3), 'Campaign Metadata'!A$3,
 IF(AND(C20 &gt;= 'Campaign Metadata'!B$4, C20 &lt;= 'Campaign Metadata'!C$4), 'Campaign Metadata'!A$4,
 IF(AND(C20 &gt;= 'Campaign Metadata'!B$5, C20 &lt;= 'Campaign Metadata'!C$5), 'Campaign Metadata'!A$5, "No Campaign"))))</f>
        <v>No Campaign</v>
      </c>
    </row>
    <row r="21" spans="1:16" ht="15.75" customHeight="1" x14ac:dyDescent="0.3">
      <c r="A21" s="4" t="s">
        <v>492</v>
      </c>
      <c r="B21" s="4" t="s">
        <v>31</v>
      </c>
      <c r="C21" s="4" t="s">
        <v>493</v>
      </c>
      <c r="D21" s="4" t="s">
        <v>50</v>
      </c>
      <c r="E21" s="4" t="s">
        <v>210</v>
      </c>
      <c r="F21" s="4">
        <v>4853</v>
      </c>
      <c r="G21" s="4">
        <v>837</v>
      </c>
      <c r="H21" s="4">
        <v>340</v>
      </c>
      <c r="I21" s="4">
        <v>72795</v>
      </c>
      <c r="J21" s="4">
        <v>72237</v>
      </c>
      <c r="K21" s="4">
        <v>170</v>
      </c>
      <c r="L21" s="4" t="s">
        <v>35</v>
      </c>
      <c r="M21" s="4"/>
      <c r="N21">
        <v>1.024018162437532</v>
      </c>
      <c r="P21" t="str">
        <f>IF(AND(C21 &gt;= 'Campaign Metadata'!B$2, C21 &lt;= 'Campaign Metadata'!C$2), 'Campaign Metadata'!A$2,
 IF(AND(C21 &gt;= 'Campaign Metadata'!B$3, C21 &lt;= 'Campaign Metadata'!C$3), 'Campaign Metadata'!A$3,
 IF(AND(C21 &gt;= 'Campaign Metadata'!B$4, C21 &lt;= 'Campaign Metadata'!C$4), 'Campaign Metadata'!A$4,
 IF(AND(C21 &gt;= 'Campaign Metadata'!B$5, C21 &lt;= 'Campaign Metadata'!C$5), 'Campaign Metadata'!A$5, "No Campaign"))))</f>
        <v>ModelYCampaign</v>
      </c>
    </row>
    <row r="22" spans="1:16" ht="15.75" customHeight="1" x14ac:dyDescent="0.3">
      <c r="A22" s="4" t="s">
        <v>87</v>
      </c>
      <c r="B22" s="4" t="s">
        <v>31</v>
      </c>
      <c r="C22" s="4" t="s">
        <v>88</v>
      </c>
      <c r="D22" s="4" t="s">
        <v>16</v>
      </c>
      <c r="E22" s="4" t="s">
        <v>80</v>
      </c>
      <c r="F22" s="4">
        <v>4838</v>
      </c>
      <c r="G22" s="4">
        <v>640</v>
      </c>
      <c r="H22" s="4">
        <v>128</v>
      </c>
      <c r="I22" s="4">
        <v>72570</v>
      </c>
      <c r="J22" s="4">
        <v>72396</v>
      </c>
      <c r="K22" s="4">
        <v>83</v>
      </c>
      <c r="L22" s="4" t="s">
        <v>60</v>
      </c>
      <c r="M22" s="4"/>
      <c r="N22">
        <v>1.0130117686060003</v>
      </c>
      <c r="P22" t="str">
        <f>IF(AND(C22 &gt;= 'Campaign Metadata'!B$2, C22 &lt;= 'Campaign Metadata'!C$2), 'Campaign Metadata'!A$2,
 IF(AND(C22 &gt;= 'Campaign Metadata'!B$3, C22 &lt;= 'Campaign Metadata'!C$3), 'Campaign Metadata'!A$3,
 IF(AND(C22 &gt;= 'Campaign Metadata'!B$4, C22 &lt;= 'Campaign Metadata'!C$4), 'Campaign Metadata'!A$4,
 IF(AND(C22 &gt;= 'Campaign Metadata'!B$5, C22 &lt;= 'Campaign Metadata'!C$5), 'Campaign Metadata'!A$5, "No Campaign"))))</f>
        <v>FSDUpdate</v>
      </c>
    </row>
    <row r="23" spans="1:16" ht="15.75" customHeight="1" x14ac:dyDescent="0.3">
      <c r="A23" s="4" t="s">
        <v>444</v>
      </c>
      <c r="B23" s="4" t="s">
        <v>31</v>
      </c>
      <c r="C23" s="4" t="s">
        <v>445</v>
      </c>
      <c r="D23" s="4" t="s">
        <v>33</v>
      </c>
      <c r="E23" s="4" t="s">
        <v>34</v>
      </c>
      <c r="F23" s="4">
        <v>4808</v>
      </c>
      <c r="G23" s="4">
        <v>772</v>
      </c>
      <c r="H23" s="4">
        <v>320</v>
      </c>
      <c r="I23" s="4">
        <v>72120</v>
      </c>
      <c r="J23" s="4">
        <v>71696</v>
      </c>
      <c r="K23" s="4">
        <v>195</v>
      </c>
      <c r="L23" s="4" t="s">
        <v>35</v>
      </c>
      <c r="M23" s="4"/>
      <c r="N23">
        <v>1.0211448337424682</v>
      </c>
      <c r="P23" t="str">
        <f>IF(AND(C23 &gt;= 'Campaign Metadata'!B$2, C23 &lt;= 'Campaign Metadata'!C$2), 'Campaign Metadata'!A$2,
 IF(AND(C23 &gt;= 'Campaign Metadata'!B$3, C23 &lt;= 'Campaign Metadata'!C$3), 'Campaign Metadata'!A$3,
 IF(AND(C23 &gt;= 'Campaign Metadata'!B$4, C23 &lt;= 'Campaign Metadata'!C$4), 'Campaign Metadata'!A$4,
 IF(AND(C23 &gt;= 'Campaign Metadata'!B$5, C23 &lt;= 'Campaign Metadata'!C$5), 'Campaign Metadata'!A$5, "No Campaign"))))</f>
        <v>CybertruckLaunch</v>
      </c>
    </row>
    <row r="24" spans="1:16" ht="15.75" customHeight="1" x14ac:dyDescent="0.3">
      <c r="A24" s="4" t="s">
        <v>55</v>
      </c>
      <c r="B24" s="4" t="s">
        <v>41</v>
      </c>
      <c r="C24" s="4" t="s">
        <v>56</v>
      </c>
      <c r="D24" s="4" t="s">
        <v>50</v>
      </c>
      <c r="E24" s="4" t="s">
        <v>57</v>
      </c>
      <c r="F24" s="4">
        <v>4241</v>
      </c>
      <c r="G24" s="4">
        <v>902</v>
      </c>
      <c r="H24" s="4">
        <v>47</v>
      </c>
      <c r="I24" s="4">
        <v>72097</v>
      </c>
      <c r="J24" s="4">
        <v>71598</v>
      </c>
      <c r="K24" s="4">
        <v>167</v>
      </c>
      <c r="L24" s="4" t="s">
        <v>28</v>
      </c>
      <c r="M24" s="4"/>
      <c r="N24">
        <v>1.0202240286041508</v>
      </c>
      <c r="P24" t="str">
        <f>IF(AND(C24 &gt;= 'Campaign Metadata'!B$2, C24 &lt;= 'Campaign Metadata'!C$2), 'Campaign Metadata'!A$2,
 IF(AND(C24 &gt;= 'Campaign Metadata'!B$3, C24 &lt;= 'Campaign Metadata'!C$3), 'Campaign Metadata'!A$3,
 IF(AND(C24 &gt;= 'Campaign Metadata'!B$4, C24 &lt;= 'Campaign Metadata'!C$4), 'Campaign Metadata'!A$4,
 IF(AND(C24 &gt;= 'Campaign Metadata'!B$5, C24 &lt;= 'Campaign Metadata'!C$5), 'Campaign Metadata'!A$5, "No Campaign"))))</f>
        <v>SustainabilityDrive</v>
      </c>
    </row>
    <row r="25" spans="1:16" ht="15.75" customHeight="1" x14ac:dyDescent="0.3">
      <c r="A25" s="4" t="s">
        <v>409</v>
      </c>
      <c r="B25" s="4" t="s">
        <v>31</v>
      </c>
      <c r="C25" s="4" t="s">
        <v>410</v>
      </c>
      <c r="D25" s="4" t="s">
        <v>43</v>
      </c>
      <c r="E25" s="4" t="s">
        <v>86</v>
      </c>
      <c r="F25" s="4">
        <v>3773</v>
      </c>
      <c r="G25" s="4">
        <v>299</v>
      </c>
      <c r="H25" s="4">
        <v>38</v>
      </c>
      <c r="I25" s="4">
        <v>71687</v>
      </c>
      <c r="J25" s="4">
        <v>71447</v>
      </c>
      <c r="K25" s="4">
        <v>286</v>
      </c>
      <c r="L25" s="4" t="s">
        <v>60</v>
      </c>
      <c r="M25" s="4"/>
      <c r="N25">
        <v>1.0080759164135653</v>
      </c>
      <c r="P25" t="str">
        <f>IF(AND(C25 &gt;= 'Campaign Metadata'!B$2, C25 &lt;= 'Campaign Metadata'!C$2), 'Campaign Metadata'!A$2,
 IF(AND(C25 &gt;= 'Campaign Metadata'!B$3, C25 &lt;= 'Campaign Metadata'!C$3), 'Campaign Metadata'!A$3,
 IF(AND(C25 &gt;= 'Campaign Metadata'!B$4, C25 &lt;= 'Campaign Metadata'!C$4), 'Campaign Metadata'!A$4,
 IF(AND(C25 &gt;= 'Campaign Metadata'!B$5, C25 &lt;= 'Campaign Metadata'!C$5), 'Campaign Metadata'!A$5, "No Campaign"))))</f>
        <v>No Campaign</v>
      </c>
    </row>
    <row r="26" spans="1:16" ht="15.75" customHeight="1" x14ac:dyDescent="0.3">
      <c r="A26" s="4" t="s">
        <v>456</v>
      </c>
      <c r="B26" s="4" t="s">
        <v>31</v>
      </c>
      <c r="C26" s="4" t="s">
        <v>333</v>
      </c>
      <c r="D26" s="4" t="s">
        <v>33</v>
      </c>
      <c r="E26" s="4" t="s">
        <v>34</v>
      </c>
      <c r="F26" s="4">
        <v>3770</v>
      </c>
      <c r="G26" s="4">
        <v>917</v>
      </c>
      <c r="H26" s="4">
        <v>129</v>
      </c>
      <c r="I26" s="4">
        <v>71630</v>
      </c>
      <c r="J26" s="4">
        <v>71322</v>
      </c>
      <c r="K26" s="4">
        <v>76</v>
      </c>
      <c r="L26" s="4" t="s">
        <v>60</v>
      </c>
      <c r="M26" s="4"/>
      <c r="N26">
        <v>1.0189843246123216</v>
      </c>
      <c r="P26" t="str">
        <f>IF(AND(C26 &gt;= 'Campaign Metadata'!B$2, C26 &lt;= 'Campaign Metadata'!C$2), 'Campaign Metadata'!A$2,
 IF(AND(C26 &gt;= 'Campaign Metadata'!B$3, C26 &lt;= 'Campaign Metadata'!C$3), 'Campaign Metadata'!A$3,
 IF(AND(C26 &gt;= 'Campaign Metadata'!B$4, C26 &lt;= 'Campaign Metadata'!C$4), 'Campaign Metadata'!A$4,
 IF(AND(C26 &gt;= 'Campaign Metadata'!B$5, C26 &lt;= 'Campaign Metadata'!C$5), 'Campaign Metadata'!A$5, "No Campaign"))))</f>
        <v>ModelYCampaign</v>
      </c>
    </row>
    <row r="27" spans="1:16" ht="15.75" customHeight="1" x14ac:dyDescent="0.3">
      <c r="A27" s="4" t="s">
        <v>37</v>
      </c>
      <c r="B27" s="4" t="s">
        <v>599</v>
      </c>
      <c r="C27" s="4" t="s">
        <v>38</v>
      </c>
      <c r="D27" s="4" t="s">
        <v>16</v>
      </c>
      <c r="E27" s="4" t="s">
        <v>27</v>
      </c>
      <c r="F27" s="4">
        <v>3557</v>
      </c>
      <c r="G27" s="4">
        <v>687</v>
      </c>
      <c r="H27" s="4">
        <v>424</v>
      </c>
      <c r="I27" s="4">
        <v>71140</v>
      </c>
      <c r="J27" s="4">
        <v>70701</v>
      </c>
      <c r="K27" s="4">
        <v>224</v>
      </c>
      <c r="L27" s="4" t="s">
        <v>35</v>
      </c>
      <c r="M27" s="4" t="s">
        <v>28</v>
      </c>
      <c r="N27">
        <v>1.0219233108442596</v>
      </c>
      <c r="P27" t="str">
        <f>IF(AND(C27 &gt;= 'Campaign Metadata'!B$2, C27 &lt;= 'Campaign Metadata'!C$2), 'Campaign Metadata'!A$2,
 IF(AND(C27 &gt;= 'Campaign Metadata'!B$3, C27 &lt;= 'Campaign Metadata'!C$3), 'Campaign Metadata'!A$3,
 IF(AND(C27 &gt;= 'Campaign Metadata'!B$4, C27 &lt;= 'Campaign Metadata'!C$4), 'Campaign Metadata'!A$4,
 IF(AND(C27 &gt;= 'Campaign Metadata'!B$5, C27 &lt;= 'Campaign Metadata'!C$5), 'Campaign Metadata'!A$5, "No Campaign"))))</f>
        <v>CybertruckLaunch</v>
      </c>
    </row>
    <row r="28" spans="1:16" ht="15.75" customHeight="1" x14ac:dyDescent="0.3">
      <c r="A28" s="4" t="s">
        <v>403</v>
      </c>
      <c r="B28" s="4" t="s">
        <v>41</v>
      </c>
      <c r="C28" s="4" t="s">
        <v>404</v>
      </c>
      <c r="D28" s="4" t="s">
        <v>16</v>
      </c>
      <c r="E28" s="4" t="s">
        <v>63</v>
      </c>
      <c r="F28" s="4">
        <v>3718</v>
      </c>
      <c r="G28" s="4">
        <v>385</v>
      </c>
      <c r="H28" s="4">
        <v>310</v>
      </c>
      <c r="I28" s="4">
        <v>70642</v>
      </c>
      <c r="J28" s="4">
        <v>69749</v>
      </c>
      <c r="K28" s="4">
        <v>233</v>
      </c>
      <c r="L28" s="4" t="s">
        <v>28</v>
      </c>
      <c r="M28" s="4"/>
      <c r="N28">
        <v>1.0227673515032474</v>
      </c>
      <c r="P28" t="str">
        <f>IF(AND(C28 &gt;= 'Campaign Metadata'!B$2, C28 &lt;= 'Campaign Metadata'!C$2), 'Campaign Metadata'!A$2,
 IF(AND(C28 &gt;= 'Campaign Metadata'!B$3, C28 &lt;= 'Campaign Metadata'!C$3), 'Campaign Metadata'!A$3,
 IF(AND(C28 &gt;= 'Campaign Metadata'!B$4, C28 &lt;= 'Campaign Metadata'!C$4), 'Campaign Metadata'!A$4,
 IF(AND(C28 &gt;= 'Campaign Metadata'!B$5, C28 &lt;= 'Campaign Metadata'!C$5), 'Campaign Metadata'!A$5, "No Campaign"))))</f>
        <v>No Campaign</v>
      </c>
    </row>
    <row r="29" spans="1:16" ht="15.75" customHeight="1" x14ac:dyDescent="0.3">
      <c r="A29" s="4" t="s">
        <v>538</v>
      </c>
      <c r="B29" s="4" t="s">
        <v>41</v>
      </c>
      <c r="C29" s="4" t="s">
        <v>92</v>
      </c>
      <c r="D29" s="4" t="s">
        <v>72</v>
      </c>
      <c r="E29" s="4" t="s">
        <v>73</v>
      </c>
      <c r="F29" s="4">
        <v>4663</v>
      </c>
      <c r="G29" s="4">
        <v>145</v>
      </c>
      <c r="H29" s="4">
        <v>225</v>
      </c>
      <c r="I29" s="4">
        <v>69945</v>
      </c>
      <c r="J29" s="4">
        <v>69596</v>
      </c>
      <c r="K29" s="4">
        <v>35</v>
      </c>
      <c r="L29" s="4" t="s">
        <v>35</v>
      </c>
      <c r="M29" s="4"/>
      <c r="N29">
        <v>1.0103310535088224</v>
      </c>
      <c r="P29" t="str">
        <f>IF(AND(C29 &gt;= 'Campaign Metadata'!B$2, C29 &lt;= 'Campaign Metadata'!C$2), 'Campaign Metadata'!A$2,
 IF(AND(C29 &gt;= 'Campaign Metadata'!B$3, C29 &lt;= 'Campaign Metadata'!C$3), 'Campaign Metadata'!A$3,
 IF(AND(C29 &gt;= 'Campaign Metadata'!B$4, C29 &lt;= 'Campaign Metadata'!C$4), 'Campaign Metadata'!A$4,
 IF(AND(C29 &gt;= 'Campaign Metadata'!B$5, C29 &lt;= 'Campaign Metadata'!C$5), 'Campaign Metadata'!A$5, "No Campaign"))))</f>
        <v>No Campaign</v>
      </c>
    </row>
    <row r="30" spans="1:16" ht="15.75" customHeight="1" x14ac:dyDescent="0.3">
      <c r="A30" s="4" t="s">
        <v>225</v>
      </c>
      <c r="B30" s="4" t="s">
        <v>31</v>
      </c>
      <c r="C30" s="4" t="s">
        <v>226</v>
      </c>
      <c r="D30" s="4" t="s">
        <v>50</v>
      </c>
      <c r="E30" s="4" t="s">
        <v>210</v>
      </c>
      <c r="F30" s="4">
        <v>3861</v>
      </c>
      <c r="G30" s="4">
        <v>960</v>
      </c>
      <c r="H30" s="4">
        <v>101</v>
      </c>
      <c r="I30" s="4">
        <v>69498</v>
      </c>
      <c r="J30" s="4">
        <v>68817</v>
      </c>
      <c r="K30" s="4">
        <v>297</v>
      </c>
      <c r="L30" s="4" t="s">
        <v>28</v>
      </c>
      <c r="M30" s="4"/>
      <c r="N30">
        <v>1.0253135126494908</v>
      </c>
      <c r="P30" t="str">
        <f>IF(AND(C30 &gt;= 'Campaign Metadata'!B$2, C30 &lt;= 'Campaign Metadata'!C$2), 'Campaign Metadata'!A$2,
 IF(AND(C30 &gt;= 'Campaign Metadata'!B$3, C30 &lt;= 'Campaign Metadata'!C$3), 'Campaign Metadata'!A$3,
 IF(AND(C30 &gt;= 'Campaign Metadata'!B$4, C30 &lt;= 'Campaign Metadata'!C$4), 'Campaign Metadata'!A$4,
 IF(AND(C30 &gt;= 'Campaign Metadata'!B$5, C30 &lt;= 'Campaign Metadata'!C$5), 'Campaign Metadata'!A$5, "No Campaign"))))</f>
        <v>No Campaign</v>
      </c>
    </row>
    <row r="31" spans="1:16" ht="15.75" customHeight="1" x14ac:dyDescent="0.3">
      <c r="A31" s="4" t="s">
        <v>253</v>
      </c>
      <c r="B31" s="4" t="s">
        <v>31</v>
      </c>
      <c r="C31" s="4" t="s">
        <v>254</v>
      </c>
      <c r="D31" s="4" t="s">
        <v>50</v>
      </c>
      <c r="E31" s="4" t="s">
        <v>210</v>
      </c>
      <c r="F31" s="4">
        <v>4619</v>
      </c>
      <c r="G31" s="4">
        <v>821</v>
      </c>
      <c r="H31" s="4">
        <v>499</v>
      </c>
      <c r="I31" s="4">
        <v>69285</v>
      </c>
      <c r="J31" s="4">
        <v>69141</v>
      </c>
      <c r="K31" s="4">
        <v>298</v>
      </c>
      <c r="L31" s="4" t="s">
        <v>28</v>
      </c>
      <c r="M31" s="4"/>
      <c r="N31">
        <v>1.0211741224454376</v>
      </c>
      <c r="P31" t="str">
        <f>IF(AND(C31 &gt;= 'Campaign Metadata'!B$2, C31 &lt;= 'Campaign Metadata'!C$2), 'Campaign Metadata'!A$2,
 IF(AND(C31 &gt;= 'Campaign Metadata'!B$3, C31 &lt;= 'Campaign Metadata'!C$3), 'Campaign Metadata'!A$3,
 IF(AND(C31 &gt;= 'Campaign Metadata'!B$4, C31 &lt;= 'Campaign Metadata'!C$4), 'Campaign Metadata'!A$4,
 IF(AND(C31 &gt;= 'Campaign Metadata'!B$5, C31 &lt;= 'Campaign Metadata'!C$5), 'Campaign Metadata'!A$5, "No Campaign"))))</f>
        <v>No Campaign</v>
      </c>
    </row>
    <row r="32" spans="1:16" ht="15.75" customHeight="1" x14ac:dyDescent="0.3">
      <c r="A32" s="4" t="s">
        <v>476</v>
      </c>
      <c r="B32" s="4" t="s">
        <v>41</v>
      </c>
      <c r="C32" s="4" t="s">
        <v>168</v>
      </c>
      <c r="D32" s="4" t="s">
        <v>16</v>
      </c>
      <c r="E32" s="4" t="s">
        <v>63</v>
      </c>
      <c r="F32" s="4">
        <v>3813</v>
      </c>
      <c r="G32" s="4">
        <v>935</v>
      </c>
      <c r="H32" s="4">
        <v>274</v>
      </c>
      <c r="I32" s="4">
        <v>68634</v>
      </c>
      <c r="J32" s="4">
        <v>68488</v>
      </c>
      <c r="K32" s="4">
        <v>251</v>
      </c>
      <c r="L32" s="4" t="s">
        <v>60</v>
      </c>
      <c r="N32">
        <v>1.0197844877934821</v>
      </c>
      <c r="P32" t="str">
        <f>IF(AND(C32 &gt;= 'Campaign Metadata'!B$2, C32 &lt;= 'Campaign Metadata'!C$2), 'Campaign Metadata'!A$2,
 IF(AND(C32 &gt;= 'Campaign Metadata'!B$3, C32 &lt;= 'Campaign Metadata'!C$3), 'Campaign Metadata'!A$3,
 IF(AND(C32 &gt;= 'Campaign Metadata'!B$4, C32 &lt;= 'Campaign Metadata'!C$4), 'Campaign Metadata'!A$4,
 IF(AND(C32 &gt;= 'Campaign Metadata'!B$5, C32 &lt;= 'Campaign Metadata'!C$5), 'Campaign Metadata'!A$5, "No Campaign"))))</f>
        <v>CybertruckLaunch</v>
      </c>
    </row>
    <row r="33" spans="1:16" ht="15.75" customHeight="1" x14ac:dyDescent="0.3">
      <c r="A33" s="4" t="s">
        <v>277</v>
      </c>
      <c r="B33" s="4" t="s">
        <v>41</v>
      </c>
      <c r="C33" s="4" t="s">
        <v>276</v>
      </c>
      <c r="D33" s="4" t="s">
        <v>50</v>
      </c>
      <c r="E33" s="4" t="s">
        <v>57</v>
      </c>
      <c r="F33" s="4">
        <v>4551</v>
      </c>
      <c r="G33" s="4">
        <v>714</v>
      </c>
      <c r="H33" s="4">
        <v>207</v>
      </c>
      <c r="I33" s="4">
        <v>68265</v>
      </c>
      <c r="J33" s="4">
        <v>67754</v>
      </c>
      <c r="K33" s="4">
        <v>57</v>
      </c>
      <c r="L33" s="4" t="s">
        <v>60</v>
      </c>
      <c r="M33" s="4"/>
      <c r="N33">
        <v>1.0211352835256959</v>
      </c>
      <c r="P33" t="str">
        <f>IF(AND(C33 &gt;= 'Campaign Metadata'!B$2, C33 &lt;= 'Campaign Metadata'!C$2), 'Campaign Metadata'!A$2,
 IF(AND(C33 &gt;= 'Campaign Metadata'!B$3, C33 &lt;= 'Campaign Metadata'!C$3), 'Campaign Metadata'!A$3,
 IF(AND(C33 &gt;= 'Campaign Metadata'!B$4, C33 &lt;= 'Campaign Metadata'!C$4), 'Campaign Metadata'!A$4,
 IF(AND(C33 &gt;= 'Campaign Metadata'!B$5, C33 &lt;= 'Campaign Metadata'!C$5), 'Campaign Metadata'!A$5, "No Campaign"))))</f>
        <v>No Campaign</v>
      </c>
    </row>
    <row r="34" spans="1:16" ht="15.75" customHeight="1" x14ac:dyDescent="0.3">
      <c r="A34" s="4" t="s">
        <v>355</v>
      </c>
      <c r="B34" s="4" t="s">
        <v>14</v>
      </c>
      <c r="C34" s="4" t="s">
        <v>356</v>
      </c>
      <c r="D34" s="4" t="s">
        <v>21</v>
      </c>
      <c r="E34" s="4" t="s">
        <v>22</v>
      </c>
      <c r="F34" s="4">
        <v>3577</v>
      </c>
      <c r="G34" s="4">
        <v>596</v>
      </c>
      <c r="H34" s="4">
        <v>493</v>
      </c>
      <c r="I34" s="4">
        <v>67963</v>
      </c>
      <c r="J34" s="4">
        <v>67839</v>
      </c>
      <c r="K34" s="4">
        <v>53</v>
      </c>
      <c r="L34" s="4" t="s">
        <v>28</v>
      </c>
      <c r="M34" s="4"/>
      <c r="N34">
        <v>1.017880570173499</v>
      </c>
      <c r="P34" t="str">
        <f>IF(AND(C34 &gt;= 'Campaign Metadata'!B$2, C34 &lt;= 'Campaign Metadata'!C$2), 'Campaign Metadata'!A$2,
 IF(AND(C34 &gt;= 'Campaign Metadata'!B$3, C34 &lt;= 'Campaign Metadata'!C$3), 'Campaign Metadata'!A$3,
 IF(AND(C34 &gt;= 'Campaign Metadata'!B$4, C34 &lt;= 'Campaign Metadata'!C$4), 'Campaign Metadata'!A$4,
 IF(AND(C34 &gt;= 'Campaign Metadata'!B$5, C34 &lt;= 'Campaign Metadata'!C$5), 'Campaign Metadata'!A$5, "No Campaign"))))</f>
        <v>No Campaign</v>
      </c>
    </row>
    <row r="35" spans="1:16" ht="15.75" customHeight="1" x14ac:dyDescent="0.3">
      <c r="A35" s="4" t="s">
        <v>119</v>
      </c>
      <c r="B35" s="4" t="s">
        <v>31</v>
      </c>
      <c r="C35" s="4" t="s">
        <v>120</v>
      </c>
      <c r="D35" s="4" t="s">
        <v>33</v>
      </c>
      <c r="E35" s="4" t="s">
        <v>34</v>
      </c>
      <c r="F35" s="4">
        <v>4518</v>
      </c>
      <c r="G35" s="4">
        <v>285</v>
      </c>
      <c r="H35" s="4">
        <v>383</v>
      </c>
      <c r="I35" s="4">
        <v>67770</v>
      </c>
      <c r="J35" s="4">
        <v>67621</v>
      </c>
      <c r="K35" s="4">
        <v>31</v>
      </c>
      <c r="L35" s="4" t="s">
        <v>35</v>
      </c>
      <c r="M35" s="4"/>
      <c r="N35">
        <v>1.0120820455184041</v>
      </c>
      <c r="P35" t="str">
        <f>IF(AND(C35 &gt;= 'Campaign Metadata'!B$2, C35 &lt;= 'Campaign Metadata'!C$2), 'Campaign Metadata'!A$2,
 IF(AND(C35 &gt;= 'Campaign Metadata'!B$3, C35 &lt;= 'Campaign Metadata'!C$3), 'Campaign Metadata'!A$3,
 IF(AND(C35 &gt;= 'Campaign Metadata'!B$4, C35 &lt;= 'Campaign Metadata'!C$4), 'Campaign Metadata'!A$4,
 IF(AND(C35 &gt;= 'Campaign Metadata'!B$5, C35 &lt;= 'Campaign Metadata'!C$5), 'Campaign Metadata'!A$5, "No Campaign"))))</f>
        <v>No Campaign</v>
      </c>
    </row>
    <row r="36" spans="1:16" ht="15.75" customHeight="1" x14ac:dyDescent="0.3">
      <c r="A36" s="4" t="s">
        <v>93</v>
      </c>
      <c r="B36" s="4" t="s">
        <v>41</v>
      </c>
      <c r="C36" s="4" t="s">
        <v>94</v>
      </c>
      <c r="D36" s="4" t="s">
        <v>72</v>
      </c>
      <c r="E36" s="4" t="s">
        <v>73</v>
      </c>
      <c r="F36" s="4">
        <v>3961</v>
      </c>
      <c r="G36" s="4">
        <v>761</v>
      </c>
      <c r="H36" s="4">
        <v>131</v>
      </c>
      <c r="I36" s="4">
        <v>67337</v>
      </c>
      <c r="J36" s="4">
        <v>66615</v>
      </c>
      <c r="K36" s="4">
        <v>161</v>
      </c>
      <c r="L36" s="4" t="s">
        <v>60</v>
      </c>
      <c r="M36" s="4"/>
      <c r="N36">
        <v>1.0242287773024095</v>
      </c>
      <c r="P36" t="str">
        <f>IF(AND(C36 &gt;= 'Campaign Metadata'!B$2, C36 &lt;= 'Campaign Metadata'!C$2), 'Campaign Metadata'!A$2,
 IF(AND(C36 &gt;= 'Campaign Metadata'!B$3, C36 &lt;= 'Campaign Metadata'!C$3), 'Campaign Metadata'!A$3,
 IF(AND(C36 &gt;= 'Campaign Metadata'!B$4, C36 &lt;= 'Campaign Metadata'!C$4), 'Campaign Metadata'!A$4,
 IF(AND(C36 &gt;= 'Campaign Metadata'!B$5, C36 &lt;= 'Campaign Metadata'!C$5), 'Campaign Metadata'!A$5, "No Campaign"))))</f>
        <v>No Campaign</v>
      </c>
    </row>
    <row r="37" spans="1:16" ht="15.75" customHeight="1" x14ac:dyDescent="0.3">
      <c r="A37" s="4" t="s">
        <v>502</v>
      </c>
      <c r="B37" s="4" t="s">
        <v>14</v>
      </c>
      <c r="C37" s="4" t="s">
        <v>388</v>
      </c>
      <c r="D37" s="4" t="s">
        <v>16</v>
      </c>
      <c r="E37" s="4" t="s">
        <v>17</v>
      </c>
      <c r="F37" s="4">
        <v>4187</v>
      </c>
      <c r="G37" s="4">
        <v>66</v>
      </c>
      <c r="H37" s="4">
        <v>31</v>
      </c>
      <c r="I37" s="4">
        <v>66992</v>
      </c>
      <c r="J37" s="4">
        <v>66614</v>
      </c>
      <c r="K37" s="4">
        <v>62</v>
      </c>
      <c r="L37" s="4" t="s">
        <v>60</v>
      </c>
      <c r="N37">
        <v>1.0071306332002281</v>
      </c>
      <c r="P37" t="str">
        <f>IF(AND(C37 &gt;= 'Campaign Metadata'!B$2, C37 &lt;= 'Campaign Metadata'!C$2), 'Campaign Metadata'!A$2,
 IF(AND(C37 &gt;= 'Campaign Metadata'!B$3, C37 &lt;= 'Campaign Metadata'!C$3), 'Campaign Metadata'!A$3,
 IF(AND(C37 &gt;= 'Campaign Metadata'!B$4, C37 &lt;= 'Campaign Metadata'!C$4), 'Campaign Metadata'!A$4,
 IF(AND(C37 &gt;= 'Campaign Metadata'!B$5, C37 &lt;= 'Campaign Metadata'!C$5), 'Campaign Metadata'!A$5, "No Campaign"))))</f>
        <v>ModelYCampaign</v>
      </c>
    </row>
    <row r="38" spans="1:16" ht="15.75" customHeight="1" x14ac:dyDescent="0.3">
      <c r="A38" s="4" t="s">
        <v>240</v>
      </c>
      <c r="B38" s="4" t="s">
        <v>599</v>
      </c>
      <c r="C38" s="4" t="s">
        <v>241</v>
      </c>
      <c r="D38" s="4" t="s">
        <v>43</v>
      </c>
      <c r="E38" s="4" t="s">
        <v>66</v>
      </c>
      <c r="F38" s="4">
        <v>4171</v>
      </c>
      <c r="G38" s="4">
        <v>548</v>
      </c>
      <c r="H38" s="4">
        <v>86</v>
      </c>
      <c r="I38" s="4">
        <v>66736</v>
      </c>
      <c r="J38" s="4">
        <v>66634</v>
      </c>
      <c r="K38" s="4">
        <v>173</v>
      </c>
      <c r="L38" s="4" t="s">
        <v>60</v>
      </c>
      <c r="M38" s="4"/>
      <c r="N38">
        <v>1.0110454122520034</v>
      </c>
      <c r="P38" t="str">
        <f>IF(AND(C38 &gt;= 'Campaign Metadata'!B$2, C38 &lt;= 'Campaign Metadata'!C$2), 'Campaign Metadata'!A$2,
 IF(AND(C38 &gt;= 'Campaign Metadata'!B$3, C38 &lt;= 'Campaign Metadata'!C$3), 'Campaign Metadata'!A$3,
 IF(AND(C38 &gt;= 'Campaign Metadata'!B$4, C38 &lt;= 'Campaign Metadata'!C$4), 'Campaign Metadata'!A$4,
 IF(AND(C38 &gt;= 'Campaign Metadata'!B$5, C38 &lt;= 'Campaign Metadata'!C$5), 'Campaign Metadata'!A$5, "No Campaign"))))</f>
        <v>CybertruckLaunch</v>
      </c>
    </row>
    <row r="39" spans="1:16" ht="15.75" customHeight="1" x14ac:dyDescent="0.3">
      <c r="A39" s="4" t="s">
        <v>289</v>
      </c>
      <c r="B39" s="4" t="s">
        <v>41</v>
      </c>
      <c r="C39" s="4" t="s">
        <v>218</v>
      </c>
      <c r="D39" s="4" t="s">
        <v>16</v>
      </c>
      <c r="E39" s="4" t="s">
        <v>63</v>
      </c>
      <c r="F39" s="4">
        <v>3452</v>
      </c>
      <c r="G39" s="4">
        <v>652</v>
      </c>
      <c r="H39" s="4">
        <v>442</v>
      </c>
      <c r="I39" s="4">
        <v>65588</v>
      </c>
      <c r="J39" s="4">
        <v>65049</v>
      </c>
      <c r="K39" s="4">
        <v>158</v>
      </c>
      <c r="L39" s="4" t="s">
        <v>60</v>
      </c>
      <c r="M39" s="4"/>
      <c r="N39">
        <v>1.0251041522544544</v>
      </c>
      <c r="P39" t="str">
        <f>IF(AND(C39 &gt;= 'Campaign Metadata'!B$2, C39 &lt;= 'Campaign Metadata'!C$2), 'Campaign Metadata'!A$2,
 IF(AND(C39 &gt;= 'Campaign Metadata'!B$3, C39 &lt;= 'Campaign Metadata'!C$3), 'Campaign Metadata'!A$3,
 IF(AND(C39 &gt;= 'Campaign Metadata'!B$4, C39 &lt;= 'Campaign Metadata'!C$4), 'Campaign Metadata'!A$4,
 IF(AND(C39 &gt;= 'Campaign Metadata'!B$5, C39 &lt;= 'Campaign Metadata'!C$5), 'Campaign Metadata'!A$5, "No Campaign"))))</f>
        <v>No Campaign</v>
      </c>
    </row>
    <row r="40" spans="1:16" ht="15.75" customHeight="1" x14ac:dyDescent="0.3">
      <c r="A40" s="4" t="s">
        <v>19</v>
      </c>
      <c r="B40" s="4" t="s">
        <v>14</v>
      </c>
      <c r="C40" s="4" t="s">
        <v>20</v>
      </c>
      <c r="D40" s="4" t="s">
        <v>21</v>
      </c>
      <c r="E40" s="4" t="s">
        <v>22</v>
      </c>
      <c r="F40" s="4">
        <v>4054</v>
      </c>
      <c r="G40" s="4">
        <v>389</v>
      </c>
      <c r="H40" s="4">
        <v>493</v>
      </c>
      <c r="I40" s="4">
        <v>64864</v>
      </c>
      <c r="J40" s="4">
        <v>64383</v>
      </c>
      <c r="K40" s="4">
        <v>117</v>
      </c>
      <c r="L40" s="4" t="s">
        <v>28</v>
      </c>
      <c r="M40" s="4" t="s">
        <v>601</v>
      </c>
      <c r="N40">
        <v>1.021170184676079</v>
      </c>
      <c r="P40" t="str">
        <f>IF(AND(C40 &gt;= 'Campaign Metadata'!B$2, C40 &lt;= 'Campaign Metadata'!C$2), 'Campaign Metadata'!A$2,
 IF(AND(C40 &gt;= 'Campaign Metadata'!B$3, C40 &lt;= 'Campaign Metadata'!C$3), 'Campaign Metadata'!A$3,
 IF(AND(C40 &gt;= 'Campaign Metadata'!B$4, C40 &lt;= 'Campaign Metadata'!C$4), 'Campaign Metadata'!A$4,
 IF(AND(C40 &gt;= 'Campaign Metadata'!B$5, C40 &lt;= 'Campaign Metadata'!C$5), 'Campaign Metadata'!A$5, "No Campaign"))))</f>
        <v>No Campaign</v>
      </c>
    </row>
    <row r="41" spans="1:16" ht="15.75" customHeight="1" x14ac:dyDescent="0.3">
      <c r="A41" s="4" t="s">
        <v>371</v>
      </c>
      <c r="B41" s="4" t="s">
        <v>41</v>
      </c>
      <c r="C41" s="4" t="s">
        <v>309</v>
      </c>
      <c r="D41" s="4" t="s">
        <v>43</v>
      </c>
      <c r="E41" s="4" t="s">
        <v>44</v>
      </c>
      <c r="F41" s="4">
        <v>3796</v>
      </c>
      <c r="G41" s="4">
        <v>667</v>
      </c>
      <c r="H41" s="4">
        <v>395</v>
      </c>
      <c r="I41" s="4">
        <v>64532</v>
      </c>
      <c r="J41" s="4">
        <v>63550</v>
      </c>
      <c r="K41" s="4">
        <v>292</v>
      </c>
      <c r="L41" s="4" t="s">
        <v>28</v>
      </c>
      <c r="N41">
        <v>1.0321636506687648</v>
      </c>
      <c r="P41" t="str">
        <f>IF(AND(C41 &gt;= 'Campaign Metadata'!B$2, C41 &lt;= 'Campaign Metadata'!C$2), 'Campaign Metadata'!A$2,
 IF(AND(C41 &gt;= 'Campaign Metadata'!B$3, C41 &lt;= 'Campaign Metadata'!C$3), 'Campaign Metadata'!A$3,
 IF(AND(C41 &gt;= 'Campaign Metadata'!B$4, C41 &lt;= 'Campaign Metadata'!C$4), 'Campaign Metadata'!A$4,
 IF(AND(C41 &gt;= 'Campaign Metadata'!B$5, C41 &lt;= 'Campaign Metadata'!C$5), 'Campaign Metadata'!A$5, "No Campaign"))))</f>
        <v>CybertruckLaunch</v>
      </c>
    </row>
    <row r="42" spans="1:16" ht="15.75" customHeight="1" x14ac:dyDescent="0.3">
      <c r="A42" s="4" t="s">
        <v>521</v>
      </c>
      <c r="B42" s="4" t="s">
        <v>599</v>
      </c>
      <c r="C42" s="4" t="s">
        <v>164</v>
      </c>
      <c r="D42" s="4" t="s">
        <v>72</v>
      </c>
      <c r="E42" s="4" t="s">
        <v>213</v>
      </c>
      <c r="F42" s="4">
        <v>4275</v>
      </c>
      <c r="G42" s="4">
        <v>680</v>
      </c>
      <c r="H42" s="4">
        <v>385</v>
      </c>
      <c r="I42" s="4">
        <v>64125</v>
      </c>
      <c r="J42" s="4">
        <v>63650</v>
      </c>
      <c r="K42" s="4">
        <v>104</v>
      </c>
      <c r="L42" s="4" t="s">
        <v>35</v>
      </c>
      <c r="M42" s="4" t="s">
        <v>28</v>
      </c>
      <c r="N42">
        <v>1.0241948153967007</v>
      </c>
      <c r="P42" t="str">
        <f>IF(AND(C42 &gt;= 'Campaign Metadata'!B$2, C42 &lt;= 'Campaign Metadata'!C$2), 'Campaign Metadata'!A$2,
 IF(AND(C42 &gt;= 'Campaign Metadata'!B$3, C42 &lt;= 'Campaign Metadata'!C$3), 'Campaign Metadata'!A$3,
 IF(AND(C42 &gt;= 'Campaign Metadata'!B$4, C42 &lt;= 'Campaign Metadata'!C$4), 'Campaign Metadata'!A$4,
 IF(AND(C42 &gt;= 'Campaign Metadata'!B$5, C42 &lt;= 'Campaign Metadata'!C$5), 'Campaign Metadata'!A$5, "No Campaign"))))</f>
        <v>ModelYCampaign</v>
      </c>
    </row>
    <row r="43" spans="1:16" ht="15.75" customHeight="1" x14ac:dyDescent="0.3">
      <c r="A43" s="4" t="s">
        <v>526</v>
      </c>
      <c r="B43" s="4" t="s">
        <v>14</v>
      </c>
      <c r="C43" s="4" t="s">
        <v>527</v>
      </c>
      <c r="D43" s="4" t="s">
        <v>16</v>
      </c>
      <c r="E43" s="4" t="s">
        <v>17</v>
      </c>
      <c r="F43" s="4">
        <v>3367</v>
      </c>
      <c r="G43" s="4">
        <v>302</v>
      </c>
      <c r="H43" s="4">
        <v>57</v>
      </c>
      <c r="I43" s="4">
        <v>63973</v>
      </c>
      <c r="J43" s="4">
        <v>63789</v>
      </c>
      <c r="K43" s="4">
        <v>157</v>
      </c>
      <c r="L43" s="4" t="s">
        <v>60</v>
      </c>
      <c r="M43" s="4"/>
      <c r="N43">
        <v>1.0085124394488079</v>
      </c>
      <c r="P43" t="str">
        <f>IF(AND(C43 &gt;= 'Campaign Metadata'!B$2, C43 &lt;= 'Campaign Metadata'!C$2), 'Campaign Metadata'!A$2,
 IF(AND(C43 &gt;= 'Campaign Metadata'!B$3, C43 &lt;= 'Campaign Metadata'!C$3), 'Campaign Metadata'!A$3,
 IF(AND(C43 &gt;= 'Campaign Metadata'!B$4, C43 &lt;= 'Campaign Metadata'!C$4), 'Campaign Metadata'!A$4,
 IF(AND(C43 &gt;= 'Campaign Metadata'!B$5, C43 &lt;= 'Campaign Metadata'!C$5), 'Campaign Metadata'!A$5, "No Campaign"))))</f>
        <v>No Campaign</v>
      </c>
    </row>
    <row r="44" spans="1:16" ht="15.75" customHeight="1" x14ac:dyDescent="0.3">
      <c r="A44" s="4" t="s">
        <v>552</v>
      </c>
      <c r="B44" s="4" t="s">
        <v>14</v>
      </c>
      <c r="C44" s="4" t="s">
        <v>311</v>
      </c>
      <c r="D44" s="4" t="s">
        <v>43</v>
      </c>
      <c r="E44" s="4" t="s">
        <v>47</v>
      </c>
      <c r="F44" s="4">
        <v>4494</v>
      </c>
      <c r="G44" s="4">
        <v>717</v>
      </c>
      <c r="H44" s="4">
        <v>45</v>
      </c>
      <c r="I44" s="4">
        <v>62916</v>
      </c>
      <c r="J44" s="4">
        <v>62688</v>
      </c>
      <c r="K44" s="4">
        <v>191</v>
      </c>
      <c r="L44" s="4" t="s">
        <v>28</v>
      </c>
      <c r="M44" s="4" t="s">
        <v>35</v>
      </c>
      <c r="N44">
        <v>1.0157924961715161</v>
      </c>
      <c r="P44" t="str">
        <f>IF(AND(C44 &gt;= 'Campaign Metadata'!B$2, C44 &lt;= 'Campaign Metadata'!C$2), 'Campaign Metadata'!A$2,
 IF(AND(C44 &gt;= 'Campaign Metadata'!B$3, C44 &lt;= 'Campaign Metadata'!C$3), 'Campaign Metadata'!A$3,
 IF(AND(C44 &gt;= 'Campaign Metadata'!B$4, C44 &lt;= 'Campaign Metadata'!C$4), 'Campaign Metadata'!A$4,
 IF(AND(C44 &gt;= 'Campaign Metadata'!B$5, C44 &lt;= 'Campaign Metadata'!C$5), 'Campaign Metadata'!A$5, "No Campaign"))))</f>
        <v>No Campaign</v>
      </c>
    </row>
    <row r="45" spans="1:16" ht="15.75" customHeight="1" x14ac:dyDescent="0.3">
      <c r="A45" s="4" t="s">
        <v>45</v>
      </c>
      <c r="B45" s="4" t="s">
        <v>14</v>
      </c>
      <c r="C45" s="4" t="s">
        <v>46</v>
      </c>
      <c r="D45" s="4" t="s">
        <v>43</v>
      </c>
      <c r="E45" s="4" t="s">
        <v>47</v>
      </c>
      <c r="F45" s="4">
        <v>3860</v>
      </c>
      <c r="G45" s="4">
        <v>201</v>
      </c>
      <c r="H45" s="4">
        <v>279</v>
      </c>
      <c r="I45" s="4">
        <v>61760</v>
      </c>
      <c r="J45" s="4">
        <v>61660</v>
      </c>
      <c r="K45" s="4">
        <v>235</v>
      </c>
      <c r="L45" s="4" t="s">
        <v>28</v>
      </c>
      <c r="M45" s="4"/>
      <c r="N45">
        <v>1.009406422315926</v>
      </c>
      <c r="P45" t="str">
        <f>IF(AND(C45 &gt;= 'Campaign Metadata'!B$2, C45 &lt;= 'Campaign Metadata'!C$2), 'Campaign Metadata'!A$2,
 IF(AND(C45 &gt;= 'Campaign Metadata'!B$3, C45 &lt;= 'Campaign Metadata'!C$3), 'Campaign Metadata'!A$3,
 IF(AND(C45 &gt;= 'Campaign Metadata'!B$4, C45 &lt;= 'Campaign Metadata'!C$4), 'Campaign Metadata'!A$4,
 IF(AND(C45 &gt;= 'Campaign Metadata'!B$5, C45 &lt;= 'Campaign Metadata'!C$5), 'Campaign Metadata'!A$5, "No Campaign"))))</f>
        <v>CybertruckLaunch</v>
      </c>
    </row>
    <row r="46" spans="1:16" ht="15.75" customHeight="1" x14ac:dyDescent="0.3">
      <c r="A46" s="4" t="s">
        <v>237</v>
      </c>
      <c r="B46" s="4" t="s">
        <v>31</v>
      </c>
      <c r="C46" s="4" t="s">
        <v>238</v>
      </c>
      <c r="D46" s="4" t="s">
        <v>50</v>
      </c>
      <c r="E46" s="4" t="s">
        <v>210</v>
      </c>
      <c r="F46" s="4">
        <v>4739</v>
      </c>
      <c r="G46" s="4">
        <v>527</v>
      </c>
      <c r="H46" s="4">
        <v>135</v>
      </c>
      <c r="I46" s="4">
        <v>61607</v>
      </c>
      <c r="J46" s="4">
        <v>61333</v>
      </c>
      <c r="K46" s="4">
        <v>36</v>
      </c>
      <c r="L46" s="4" t="s">
        <v>28</v>
      </c>
      <c r="M46" s="4" t="s">
        <v>600</v>
      </c>
      <c r="N46">
        <v>1.0152609525051766</v>
      </c>
      <c r="P46" t="str">
        <f>IF(AND(C46 &gt;= 'Campaign Metadata'!B$2, C46 &lt;= 'Campaign Metadata'!C$2), 'Campaign Metadata'!A$2,
 IF(AND(C46 &gt;= 'Campaign Metadata'!B$3, C46 &lt;= 'Campaign Metadata'!C$3), 'Campaign Metadata'!A$3,
 IF(AND(C46 &gt;= 'Campaign Metadata'!B$4, C46 &lt;= 'Campaign Metadata'!C$4), 'Campaign Metadata'!A$4,
 IF(AND(C46 &gt;= 'Campaign Metadata'!B$5, C46 &lt;= 'Campaign Metadata'!C$5), 'Campaign Metadata'!A$5, "No Campaign"))))</f>
        <v>No Campaign</v>
      </c>
    </row>
    <row r="47" spans="1:16" ht="15.75" customHeight="1" x14ac:dyDescent="0.3">
      <c r="A47" s="4" t="s">
        <v>394</v>
      </c>
      <c r="B47" s="4" t="s">
        <v>599</v>
      </c>
      <c r="C47" s="4" t="s">
        <v>268</v>
      </c>
      <c r="D47" s="4" t="s">
        <v>33</v>
      </c>
      <c r="E47" s="4" t="s">
        <v>151</v>
      </c>
      <c r="F47" s="4">
        <v>4350</v>
      </c>
      <c r="G47" s="4">
        <v>771</v>
      </c>
      <c r="H47" s="4">
        <v>7</v>
      </c>
      <c r="I47" s="4">
        <v>60900</v>
      </c>
      <c r="J47" s="4">
        <v>60592</v>
      </c>
      <c r="K47" s="4">
        <v>195</v>
      </c>
      <c r="L47" s="4" t="s">
        <v>35</v>
      </c>
      <c r="M47" s="4"/>
      <c r="N47">
        <v>1.017923158172696</v>
      </c>
      <c r="P47" t="str">
        <f>IF(AND(C47 &gt;= 'Campaign Metadata'!B$2, C47 &lt;= 'Campaign Metadata'!C$2), 'Campaign Metadata'!A$2,
 IF(AND(C47 &gt;= 'Campaign Metadata'!B$3, C47 &lt;= 'Campaign Metadata'!C$3), 'Campaign Metadata'!A$3,
 IF(AND(C47 &gt;= 'Campaign Metadata'!B$4, C47 &lt;= 'Campaign Metadata'!C$4), 'Campaign Metadata'!A$4,
 IF(AND(C47 &gt;= 'Campaign Metadata'!B$5, C47 &lt;= 'Campaign Metadata'!C$5), 'Campaign Metadata'!A$5, "No Campaign"))))</f>
        <v>ModelYCampaign</v>
      </c>
    </row>
    <row r="48" spans="1:16" ht="15.75" customHeight="1" x14ac:dyDescent="0.3">
      <c r="A48" s="4" t="s">
        <v>490</v>
      </c>
      <c r="B48" s="4" t="s">
        <v>31</v>
      </c>
      <c r="C48" s="4" t="s">
        <v>491</v>
      </c>
      <c r="D48" s="4" t="s">
        <v>33</v>
      </c>
      <c r="E48" s="4" t="s">
        <v>34</v>
      </c>
      <c r="F48" s="4">
        <v>4332</v>
      </c>
      <c r="G48" s="4">
        <v>771</v>
      </c>
      <c r="H48" s="4">
        <v>219</v>
      </c>
      <c r="I48" s="4">
        <v>60648</v>
      </c>
      <c r="J48" s="4">
        <v>60397</v>
      </c>
      <c r="K48" s="4">
        <v>10</v>
      </c>
      <c r="L48" s="4" t="s">
        <v>28</v>
      </c>
      <c r="M48" s="4" t="s">
        <v>35</v>
      </c>
      <c r="N48">
        <v>1.0205473781810355</v>
      </c>
      <c r="P48" t="str">
        <f>IF(AND(C48 &gt;= 'Campaign Metadata'!B$2, C48 &lt;= 'Campaign Metadata'!C$2), 'Campaign Metadata'!A$2,
 IF(AND(C48 &gt;= 'Campaign Metadata'!B$3, C48 &lt;= 'Campaign Metadata'!C$3), 'Campaign Metadata'!A$3,
 IF(AND(C48 &gt;= 'Campaign Metadata'!B$4, C48 &lt;= 'Campaign Metadata'!C$4), 'Campaign Metadata'!A$4,
 IF(AND(C48 &gt;= 'Campaign Metadata'!B$5, C48 &lt;= 'Campaign Metadata'!C$5), 'Campaign Metadata'!A$5, "No Campaign"))))</f>
        <v>No Campaign</v>
      </c>
    </row>
    <row r="49" spans="1:16" ht="15.75" customHeight="1" x14ac:dyDescent="0.3">
      <c r="A49" s="4" t="s">
        <v>125</v>
      </c>
      <c r="B49" s="4" t="s">
        <v>41</v>
      </c>
      <c r="C49" s="4" t="s">
        <v>126</v>
      </c>
      <c r="D49" s="4" t="s">
        <v>50</v>
      </c>
      <c r="E49" s="4" t="s">
        <v>57</v>
      </c>
      <c r="F49" s="4">
        <v>3564</v>
      </c>
      <c r="G49" s="4">
        <v>629</v>
      </c>
      <c r="H49" s="4">
        <v>177</v>
      </c>
      <c r="I49" s="4">
        <v>60588</v>
      </c>
      <c r="J49" s="4">
        <v>59627</v>
      </c>
      <c r="K49" s="4">
        <v>92</v>
      </c>
      <c r="L49" s="4" t="s">
        <v>28</v>
      </c>
      <c r="N49">
        <v>1.0296342261056233</v>
      </c>
      <c r="P49" t="str">
        <f>IF(AND(C49 &gt;= 'Campaign Metadata'!B$2, C49 &lt;= 'Campaign Metadata'!C$2), 'Campaign Metadata'!A$2,
 IF(AND(C49 &gt;= 'Campaign Metadata'!B$3, C49 &lt;= 'Campaign Metadata'!C$3), 'Campaign Metadata'!A$3,
 IF(AND(C49 &gt;= 'Campaign Metadata'!B$4, C49 &lt;= 'Campaign Metadata'!C$4), 'Campaign Metadata'!A$4,
 IF(AND(C49 &gt;= 'Campaign Metadata'!B$5, C49 &lt;= 'Campaign Metadata'!C$5), 'Campaign Metadata'!A$5, "No Campaign"))))</f>
        <v>No Campaign</v>
      </c>
    </row>
    <row r="50" spans="1:16" ht="15.75" customHeight="1" x14ac:dyDescent="0.3">
      <c r="A50" s="4" t="s">
        <v>386</v>
      </c>
      <c r="B50" s="4" t="s">
        <v>41</v>
      </c>
      <c r="C50" s="4" t="s">
        <v>228</v>
      </c>
      <c r="D50" s="4" t="s">
        <v>16</v>
      </c>
      <c r="E50" s="4" t="s">
        <v>63</v>
      </c>
      <c r="F50" s="4">
        <v>3360</v>
      </c>
      <c r="G50" s="4">
        <v>525</v>
      </c>
      <c r="H50" s="4">
        <v>500</v>
      </c>
      <c r="I50" s="4">
        <v>60480</v>
      </c>
      <c r="J50" s="4">
        <v>59610</v>
      </c>
      <c r="K50" s="4">
        <v>192</v>
      </c>
      <c r="L50" s="4" t="s">
        <v>28</v>
      </c>
      <c r="M50" s="4"/>
      <c r="N50">
        <v>1.0317899681261533</v>
      </c>
      <c r="P50" t="str">
        <f>IF(AND(C50 &gt;= 'Campaign Metadata'!B$2, C50 &lt;= 'Campaign Metadata'!C$2), 'Campaign Metadata'!A$2,
 IF(AND(C50 &gt;= 'Campaign Metadata'!B$3, C50 &lt;= 'Campaign Metadata'!C$3), 'Campaign Metadata'!A$3,
 IF(AND(C50 &gt;= 'Campaign Metadata'!B$4, C50 &lt;= 'Campaign Metadata'!C$4), 'Campaign Metadata'!A$4,
 IF(AND(C50 &gt;= 'Campaign Metadata'!B$5, C50 &lt;= 'Campaign Metadata'!C$5), 'Campaign Metadata'!A$5, "No Campaign"))))</f>
        <v>SustainabilityDrive</v>
      </c>
    </row>
    <row r="51" spans="1:16" ht="15.75" customHeight="1" x14ac:dyDescent="0.3">
      <c r="A51" s="4" t="s">
        <v>507</v>
      </c>
      <c r="B51" s="4" t="s">
        <v>599</v>
      </c>
      <c r="C51" s="4" t="s">
        <v>406</v>
      </c>
      <c r="D51" s="4" t="s">
        <v>16</v>
      </c>
      <c r="E51" s="4" t="s">
        <v>27</v>
      </c>
      <c r="F51" s="4">
        <v>3774</v>
      </c>
      <c r="G51" s="4">
        <v>239</v>
      </c>
      <c r="H51" s="4">
        <v>39</v>
      </c>
      <c r="I51" s="4">
        <v>60384</v>
      </c>
      <c r="J51" s="4">
        <v>59490</v>
      </c>
      <c r="K51" s="4">
        <v>241</v>
      </c>
      <c r="L51" s="4" t="s">
        <v>28</v>
      </c>
      <c r="M51" s="4"/>
      <c r="N51">
        <v>1.0197007900487476</v>
      </c>
      <c r="P51" t="str">
        <f>IF(AND(C51 &gt;= 'Campaign Metadata'!B$2, C51 &lt;= 'Campaign Metadata'!C$2), 'Campaign Metadata'!A$2,
 IF(AND(C51 &gt;= 'Campaign Metadata'!B$3, C51 &lt;= 'Campaign Metadata'!C$3), 'Campaign Metadata'!A$3,
 IF(AND(C51 &gt;= 'Campaign Metadata'!B$4, C51 &lt;= 'Campaign Metadata'!C$4), 'Campaign Metadata'!A$4,
 IF(AND(C51 &gt;= 'Campaign Metadata'!B$5, C51 &lt;= 'Campaign Metadata'!C$5), 'Campaign Metadata'!A$5, "No Campaign"))))</f>
        <v>No Campaign</v>
      </c>
    </row>
    <row r="52" spans="1:16" ht="15.75" customHeight="1" x14ac:dyDescent="0.3">
      <c r="A52" s="4" t="s">
        <v>436</v>
      </c>
      <c r="B52" s="4" t="s">
        <v>14</v>
      </c>
      <c r="C52" s="4" t="s">
        <v>352</v>
      </c>
      <c r="D52" s="4" t="s">
        <v>50</v>
      </c>
      <c r="E52" s="4" t="s">
        <v>129</v>
      </c>
      <c r="F52" s="4">
        <v>3338</v>
      </c>
      <c r="G52" s="4">
        <v>277</v>
      </c>
      <c r="H52" s="4">
        <v>118</v>
      </c>
      <c r="I52" s="4">
        <v>60084</v>
      </c>
      <c r="J52" s="4">
        <v>59842</v>
      </c>
      <c r="K52" s="4">
        <v>252</v>
      </c>
      <c r="L52" s="4" t="s">
        <v>28</v>
      </c>
      <c r="N52">
        <v>1.0106446977039538</v>
      </c>
      <c r="P52" t="str">
        <f>IF(AND(C52 &gt;= 'Campaign Metadata'!B$2, C52 &lt;= 'Campaign Metadata'!C$2), 'Campaign Metadata'!A$2,
 IF(AND(C52 &gt;= 'Campaign Metadata'!B$3, C52 &lt;= 'Campaign Metadata'!C$3), 'Campaign Metadata'!A$3,
 IF(AND(C52 &gt;= 'Campaign Metadata'!B$4, C52 &lt;= 'Campaign Metadata'!C$4), 'Campaign Metadata'!A$4,
 IF(AND(C52 &gt;= 'Campaign Metadata'!B$5, C52 &lt;= 'Campaign Metadata'!C$5), 'Campaign Metadata'!A$5, "No Campaign"))))</f>
        <v>No Campaign</v>
      </c>
    </row>
    <row r="53" spans="1:16" ht="15.75" customHeight="1" x14ac:dyDescent="0.3">
      <c r="A53" s="4" t="s">
        <v>503</v>
      </c>
      <c r="B53" s="4" t="s">
        <v>31</v>
      </c>
      <c r="C53" s="4" t="s">
        <v>504</v>
      </c>
      <c r="D53" s="4" t="s">
        <v>16</v>
      </c>
      <c r="E53" s="4" t="s">
        <v>80</v>
      </c>
      <c r="F53" s="4">
        <v>4579</v>
      </c>
      <c r="G53" s="4">
        <v>125</v>
      </c>
      <c r="H53" s="4">
        <v>300</v>
      </c>
      <c r="I53" s="4">
        <v>59527</v>
      </c>
      <c r="J53" s="4">
        <v>59400</v>
      </c>
      <c r="K53" s="4">
        <v>269</v>
      </c>
      <c r="L53" s="4" t="s">
        <v>35</v>
      </c>
      <c r="M53" s="4"/>
      <c r="N53">
        <v>1.0092929292929294</v>
      </c>
      <c r="P53" t="str">
        <f>IF(AND(C53 &gt;= 'Campaign Metadata'!B$2, C53 &lt;= 'Campaign Metadata'!C$2), 'Campaign Metadata'!A$2,
 IF(AND(C53 &gt;= 'Campaign Metadata'!B$3, C53 &lt;= 'Campaign Metadata'!C$3), 'Campaign Metadata'!A$3,
 IF(AND(C53 &gt;= 'Campaign Metadata'!B$4, C53 &lt;= 'Campaign Metadata'!C$4), 'Campaign Metadata'!A$4,
 IF(AND(C53 &gt;= 'Campaign Metadata'!B$5, C53 &lt;= 'Campaign Metadata'!C$5), 'Campaign Metadata'!A$5, "No Campaign"))))</f>
        <v>No Campaign</v>
      </c>
    </row>
    <row r="54" spans="1:16" ht="15.75" customHeight="1" x14ac:dyDescent="0.3">
      <c r="A54" s="4" t="s">
        <v>95</v>
      </c>
      <c r="B54" s="4" t="s">
        <v>14</v>
      </c>
      <c r="C54" s="4" t="s">
        <v>96</v>
      </c>
      <c r="D54" s="4" t="s">
        <v>43</v>
      </c>
      <c r="E54" s="4" t="s">
        <v>47</v>
      </c>
      <c r="F54" s="4">
        <v>3128</v>
      </c>
      <c r="G54" s="4">
        <v>211</v>
      </c>
      <c r="H54" s="4">
        <v>197</v>
      </c>
      <c r="I54" s="4">
        <v>59432</v>
      </c>
      <c r="J54" s="4">
        <v>59182</v>
      </c>
      <c r="K54" s="4">
        <v>238</v>
      </c>
      <c r="L54" s="4" t="s">
        <v>35</v>
      </c>
      <c r="N54">
        <v>1.0111182454124565</v>
      </c>
      <c r="P54" t="str">
        <f>IF(AND(C54 &gt;= 'Campaign Metadata'!B$2, C54 &lt;= 'Campaign Metadata'!C$2), 'Campaign Metadata'!A$2,
 IF(AND(C54 &gt;= 'Campaign Metadata'!B$3, C54 &lt;= 'Campaign Metadata'!C$3), 'Campaign Metadata'!A$3,
 IF(AND(C54 &gt;= 'Campaign Metadata'!B$4, C54 &lt;= 'Campaign Metadata'!C$4), 'Campaign Metadata'!A$4,
 IF(AND(C54 &gt;= 'Campaign Metadata'!B$5, C54 &lt;= 'Campaign Metadata'!C$5), 'Campaign Metadata'!A$5, "No Campaign"))))</f>
        <v>No Campaign</v>
      </c>
    </row>
    <row r="55" spans="1:16" ht="15.75" customHeight="1" x14ac:dyDescent="0.3">
      <c r="A55" s="4" t="s">
        <v>546</v>
      </c>
      <c r="B55" s="4" t="s">
        <v>14</v>
      </c>
      <c r="C55" s="4" t="s">
        <v>547</v>
      </c>
      <c r="D55" s="4" t="s">
        <v>72</v>
      </c>
      <c r="E55" s="4" t="s">
        <v>142</v>
      </c>
      <c r="F55" s="4">
        <v>3440</v>
      </c>
      <c r="G55" s="4">
        <v>13</v>
      </c>
      <c r="H55" s="4">
        <v>20</v>
      </c>
      <c r="I55" s="4">
        <v>58480</v>
      </c>
      <c r="J55" s="4">
        <v>58146</v>
      </c>
      <c r="K55" s="4">
        <v>210</v>
      </c>
      <c r="L55" s="4" t="s">
        <v>28</v>
      </c>
      <c r="M55" s="4" t="s">
        <v>593</v>
      </c>
      <c r="N55">
        <v>1.0063116981391669</v>
      </c>
      <c r="P55" t="str">
        <f>IF(AND(C55 &gt;= 'Campaign Metadata'!B$2, C55 &lt;= 'Campaign Metadata'!C$2), 'Campaign Metadata'!A$2,
 IF(AND(C55 &gt;= 'Campaign Metadata'!B$3, C55 &lt;= 'Campaign Metadata'!C$3), 'Campaign Metadata'!A$3,
 IF(AND(C55 &gt;= 'Campaign Metadata'!B$4, C55 &lt;= 'Campaign Metadata'!C$4), 'Campaign Metadata'!A$4,
 IF(AND(C55 &gt;= 'Campaign Metadata'!B$5, C55 &lt;= 'Campaign Metadata'!C$5), 'Campaign Metadata'!A$5, "No Campaign"))))</f>
        <v>No Campaign</v>
      </c>
    </row>
    <row r="56" spans="1:16" ht="15.75" customHeight="1" x14ac:dyDescent="0.3">
      <c r="A56" s="4" t="s">
        <v>217</v>
      </c>
      <c r="B56" s="4" t="s">
        <v>599</v>
      </c>
      <c r="C56" s="4" t="s">
        <v>218</v>
      </c>
      <c r="D56" s="4" t="s">
        <v>21</v>
      </c>
      <c r="E56" s="4" t="s">
        <v>101</v>
      </c>
      <c r="F56" s="4">
        <v>3428</v>
      </c>
      <c r="G56" s="4">
        <v>305</v>
      </c>
      <c r="H56" s="4">
        <v>85</v>
      </c>
      <c r="I56" s="4">
        <v>58276</v>
      </c>
      <c r="J56" s="4">
        <v>58052</v>
      </c>
      <c r="K56" s="4">
        <v>242</v>
      </c>
      <c r="L56" s="4" t="s">
        <v>35</v>
      </c>
      <c r="M56" s="4" t="s">
        <v>601</v>
      </c>
      <c r="N56">
        <v>1.0105767243161303</v>
      </c>
      <c r="P56" t="str">
        <f>IF(AND(C56 &gt;= 'Campaign Metadata'!B$2, C56 &lt;= 'Campaign Metadata'!C$2), 'Campaign Metadata'!A$2,
 IF(AND(C56 &gt;= 'Campaign Metadata'!B$3, C56 &lt;= 'Campaign Metadata'!C$3), 'Campaign Metadata'!A$3,
 IF(AND(C56 &gt;= 'Campaign Metadata'!B$4, C56 &lt;= 'Campaign Metadata'!C$4), 'Campaign Metadata'!A$4,
 IF(AND(C56 &gt;= 'Campaign Metadata'!B$5, C56 &lt;= 'Campaign Metadata'!C$5), 'Campaign Metadata'!A$5, "No Campaign"))))</f>
        <v>No Campaign</v>
      </c>
    </row>
    <row r="57" spans="1:16" ht="15.75" customHeight="1" x14ac:dyDescent="0.3">
      <c r="A57" s="4" t="s">
        <v>233</v>
      </c>
      <c r="B57" s="4" t="s">
        <v>31</v>
      </c>
      <c r="C57" s="4" t="s">
        <v>234</v>
      </c>
      <c r="D57" s="4" t="s">
        <v>21</v>
      </c>
      <c r="E57" s="4" t="s">
        <v>110</v>
      </c>
      <c r="F57" s="4">
        <v>3182</v>
      </c>
      <c r="G57" s="4">
        <v>559</v>
      </c>
      <c r="H57" s="4">
        <v>160</v>
      </c>
      <c r="I57" s="4">
        <v>57276</v>
      </c>
      <c r="J57" s="4">
        <v>56890</v>
      </c>
      <c r="K57" s="4">
        <v>163</v>
      </c>
      <c r="L57" s="4" t="s">
        <v>60</v>
      </c>
      <c r="M57" s="4"/>
      <c r="N57">
        <v>1.0194234487607663</v>
      </c>
      <c r="P57" t="str">
        <f>IF(AND(C57 &gt;= 'Campaign Metadata'!B$2, C57 &lt;= 'Campaign Metadata'!C$2), 'Campaign Metadata'!A$2,
 IF(AND(C57 &gt;= 'Campaign Metadata'!B$3, C57 &lt;= 'Campaign Metadata'!C$3), 'Campaign Metadata'!A$3,
 IF(AND(C57 &gt;= 'Campaign Metadata'!B$4, C57 &lt;= 'Campaign Metadata'!C$4), 'Campaign Metadata'!A$4,
 IF(AND(C57 &gt;= 'Campaign Metadata'!B$5, C57 &lt;= 'Campaign Metadata'!C$5), 'Campaign Metadata'!A$5, "No Campaign"))))</f>
        <v>No Campaign</v>
      </c>
    </row>
    <row r="58" spans="1:16" ht="15.75" customHeight="1" x14ac:dyDescent="0.3">
      <c r="A58" s="4" t="s">
        <v>350</v>
      </c>
      <c r="B58" s="4" t="s">
        <v>31</v>
      </c>
      <c r="C58" s="4" t="s">
        <v>301</v>
      </c>
      <c r="D58" s="4" t="s">
        <v>21</v>
      </c>
      <c r="E58" s="4" t="s">
        <v>110</v>
      </c>
      <c r="F58" s="4">
        <v>4771</v>
      </c>
      <c r="G58" s="4">
        <v>818</v>
      </c>
      <c r="H58" s="4">
        <v>56</v>
      </c>
      <c r="I58" s="4">
        <v>57252</v>
      </c>
      <c r="J58" s="4">
        <v>56378</v>
      </c>
      <c r="K58" s="4">
        <v>150</v>
      </c>
      <c r="L58" s="4" t="s">
        <v>60</v>
      </c>
      <c r="N58">
        <v>1.0310050019511157</v>
      </c>
      <c r="P58" t="str">
        <f>IF(AND(C58 &gt;= 'Campaign Metadata'!B$2, C58 &lt;= 'Campaign Metadata'!C$2), 'Campaign Metadata'!A$2,
 IF(AND(C58 &gt;= 'Campaign Metadata'!B$3, C58 &lt;= 'Campaign Metadata'!C$3), 'Campaign Metadata'!A$3,
 IF(AND(C58 &gt;= 'Campaign Metadata'!B$4, C58 &lt;= 'Campaign Metadata'!C$4), 'Campaign Metadata'!A$4,
 IF(AND(C58 &gt;= 'Campaign Metadata'!B$5, C58 &lt;= 'Campaign Metadata'!C$5), 'Campaign Metadata'!A$5, "No Campaign"))))</f>
        <v>No Campaign</v>
      </c>
    </row>
    <row r="59" spans="1:16" ht="15.75" customHeight="1" x14ac:dyDescent="0.3">
      <c r="A59" s="4" t="s">
        <v>522</v>
      </c>
      <c r="B59" s="4" t="s">
        <v>599</v>
      </c>
      <c r="C59" s="4" t="s">
        <v>523</v>
      </c>
      <c r="D59" s="4" t="s">
        <v>50</v>
      </c>
      <c r="E59" s="4" t="s">
        <v>51</v>
      </c>
      <c r="F59" s="4">
        <v>3166</v>
      </c>
      <c r="G59" s="4">
        <v>90</v>
      </c>
      <c r="H59" s="4">
        <v>341</v>
      </c>
      <c r="I59" s="4">
        <v>56988</v>
      </c>
      <c r="J59" s="4">
        <v>56125</v>
      </c>
      <c r="K59" s="4">
        <v>135</v>
      </c>
      <c r="L59" s="4" t="s">
        <v>35</v>
      </c>
      <c r="M59" s="4"/>
      <c r="N59">
        <v>1.0230556792873051</v>
      </c>
      <c r="P59" t="str">
        <f>IF(AND(C59 &gt;= 'Campaign Metadata'!B$2, C59 &lt;= 'Campaign Metadata'!C$2), 'Campaign Metadata'!A$2,
 IF(AND(C59 &gt;= 'Campaign Metadata'!B$3, C59 &lt;= 'Campaign Metadata'!C$3), 'Campaign Metadata'!A$3,
 IF(AND(C59 &gt;= 'Campaign Metadata'!B$4, C59 &lt;= 'Campaign Metadata'!C$4), 'Campaign Metadata'!A$4,
 IF(AND(C59 &gt;= 'Campaign Metadata'!B$5, C59 &lt;= 'Campaign Metadata'!C$5), 'Campaign Metadata'!A$5, "No Campaign"))))</f>
        <v>SustainabilityDrive</v>
      </c>
    </row>
    <row r="60" spans="1:16" ht="15.75" customHeight="1" x14ac:dyDescent="0.3">
      <c r="A60" s="4" t="s">
        <v>52</v>
      </c>
      <c r="B60" s="4" t="s">
        <v>41</v>
      </c>
      <c r="C60" s="4" t="s">
        <v>53</v>
      </c>
      <c r="D60" s="4" t="s">
        <v>21</v>
      </c>
      <c r="E60" s="4" t="s">
        <v>54</v>
      </c>
      <c r="F60" s="4">
        <v>3784</v>
      </c>
      <c r="G60" s="4">
        <v>808</v>
      </c>
      <c r="H60" s="4">
        <v>404</v>
      </c>
      <c r="I60" s="4">
        <v>56760</v>
      </c>
      <c r="J60" s="4">
        <v>56343</v>
      </c>
      <c r="K60" s="4">
        <v>131</v>
      </c>
      <c r="L60" s="4" t="s">
        <v>28</v>
      </c>
      <c r="M60" s="4"/>
      <c r="N60">
        <v>1.0289121984984826</v>
      </c>
      <c r="P60" t="str">
        <f>IF(AND(C60 &gt;= 'Campaign Metadata'!B$2, C60 &lt;= 'Campaign Metadata'!C$2), 'Campaign Metadata'!A$2,
 IF(AND(C60 &gt;= 'Campaign Metadata'!B$3, C60 &lt;= 'Campaign Metadata'!C$3), 'Campaign Metadata'!A$3,
 IF(AND(C60 &gt;= 'Campaign Metadata'!B$4, C60 &lt;= 'Campaign Metadata'!C$4), 'Campaign Metadata'!A$4,
 IF(AND(C60 &gt;= 'Campaign Metadata'!B$5, C60 &lt;= 'Campaign Metadata'!C$5), 'Campaign Metadata'!A$5, "No Campaign"))))</f>
        <v>No Campaign</v>
      </c>
    </row>
    <row r="61" spans="1:16" ht="15.75" customHeight="1" x14ac:dyDescent="0.3">
      <c r="A61" s="4" t="s">
        <v>298</v>
      </c>
      <c r="B61" s="4" t="s">
        <v>14</v>
      </c>
      <c r="C61" s="4" t="s">
        <v>299</v>
      </c>
      <c r="D61" s="4" t="s">
        <v>16</v>
      </c>
      <c r="E61" s="4" t="s">
        <v>17</v>
      </c>
      <c r="F61" s="4">
        <v>3731</v>
      </c>
      <c r="G61" s="4">
        <v>115</v>
      </c>
      <c r="H61" s="4">
        <v>135</v>
      </c>
      <c r="I61" s="4">
        <v>55965</v>
      </c>
      <c r="J61" s="4">
        <v>55436</v>
      </c>
      <c r="K61" s="4">
        <v>103</v>
      </c>
      <c r="L61" s="4" t="s">
        <v>28</v>
      </c>
      <c r="M61" s="4"/>
      <c r="N61">
        <v>1.0140522404213868</v>
      </c>
      <c r="P61" t="str">
        <f>IF(AND(C61 &gt;= 'Campaign Metadata'!B$2, C61 &lt;= 'Campaign Metadata'!C$2), 'Campaign Metadata'!A$2,
 IF(AND(C61 &gt;= 'Campaign Metadata'!B$3, C61 &lt;= 'Campaign Metadata'!C$3), 'Campaign Metadata'!A$3,
 IF(AND(C61 &gt;= 'Campaign Metadata'!B$4, C61 &lt;= 'Campaign Metadata'!C$4), 'Campaign Metadata'!A$4,
 IF(AND(C61 &gt;= 'Campaign Metadata'!B$5, C61 &lt;= 'Campaign Metadata'!C$5), 'Campaign Metadata'!A$5, "No Campaign"))))</f>
        <v>No Campaign</v>
      </c>
    </row>
    <row r="62" spans="1:16" ht="15.75" customHeight="1" x14ac:dyDescent="0.3">
      <c r="A62" s="4" t="s">
        <v>382</v>
      </c>
      <c r="B62" s="4" t="s">
        <v>41</v>
      </c>
      <c r="C62" s="4" t="s">
        <v>340</v>
      </c>
      <c r="D62" s="4" t="s">
        <v>43</v>
      </c>
      <c r="E62" s="4" t="s">
        <v>44</v>
      </c>
      <c r="F62" s="4">
        <v>4292</v>
      </c>
      <c r="G62" s="4">
        <v>51</v>
      </c>
      <c r="H62" s="4">
        <v>392</v>
      </c>
      <c r="I62" s="4">
        <v>55796</v>
      </c>
      <c r="J62" s="4">
        <v>54826</v>
      </c>
      <c r="K62" s="4">
        <v>264</v>
      </c>
      <c r="L62" s="4" t="s">
        <v>35</v>
      </c>
      <c r="M62" s="4"/>
      <c r="N62">
        <v>1.0257724437310765</v>
      </c>
      <c r="P62" t="str">
        <f>IF(AND(C62 &gt;= 'Campaign Metadata'!B$2, C62 &lt;= 'Campaign Metadata'!C$2), 'Campaign Metadata'!A$2,
 IF(AND(C62 &gt;= 'Campaign Metadata'!B$3, C62 &lt;= 'Campaign Metadata'!C$3), 'Campaign Metadata'!A$3,
 IF(AND(C62 &gt;= 'Campaign Metadata'!B$4, C62 &lt;= 'Campaign Metadata'!C$4), 'Campaign Metadata'!A$4,
 IF(AND(C62 &gt;= 'Campaign Metadata'!B$5, C62 &lt;= 'Campaign Metadata'!C$5), 'Campaign Metadata'!A$5, "No Campaign"))))</f>
        <v>No Campaign</v>
      </c>
    </row>
    <row r="63" spans="1:16" ht="15.75" customHeight="1" x14ac:dyDescent="0.3">
      <c r="A63" s="4" t="s">
        <v>106</v>
      </c>
      <c r="B63" s="4" t="s">
        <v>31</v>
      </c>
      <c r="C63" s="4" t="s">
        <v>107</v>
      </c>
      <c r="D63" s="4" t="s">
        <v>72</v>
      </c>
      <c r="E63" s="4" t="s">
        <v>83</v>
      </c>
      <c r="F63" s="4">
        <v>3095</v>
      </c>
      <c r="G63" s="4">
        <v>39</v>
      </c>
      <c r="H63" s="4">
        <v>78</v>
      </c>
      <c r="I63" s="4">
        <v>55710</v>
      </c>
      <c r="J63" s="4">
        <v>54808</v>
      </c>
      <c r="K63" s="4">
        <v>93</v>
      </c>
      <c r="L63" s="4" t="s">
        <v>35</v>
      </c>
      <c r="N63">
        <v>1.0185921763246242</v>
      </c>
      <c r="P63" t="str">
        <f>IF(AND(C63 &gt;= 'Campaign Metadata'!B$2, C63 &lt;= 'Campaign Metadata'!C$2), 'Campaign Metadata'!A$2,
 IF(AND(C63 &gt;= 'Campaign Metadata'!B$3, C63 &lt;= 'Campaign Metadata'!C$3), 'Campaign Metadata'!A$3,
 IF(AND(C63 &gt;= 'Campaign Metadata'!B$4, C63 &lt;= 'Campaign Metadata'!C$4), 'Campaign Metadata'!A$4,
 IF(AND(C63 &gt;= 'Campaign Metadata'!B$5, C63 &lt;= 'Campaign Metadata'!C$5), 'Campaign Metadata'!A$5, "No Campaign"))))</f>
        <v>No Campaign</v>
      </c>
    </row>
    <row r="64" spans="1:16" ht="15.75" customHeight="1" x14ac:dyDescent="0.3">
      <c r="A64" s="4" t="s">
        <v>389</v>
      </c>
      <c r="B64" s="4" t="s">
        <v>599</v>
      </c>
      <c r="C64" s="4" t="s">
        <v>354</v>
      </c>
      <c r="D64" s="4" t="s">
        <v>33</v>
      </c>
      <c r="E64" s="4" t="s">
        <v>151</v>
      </c>
      <c r="F64" s="4">
        <v>4285</v>
      </c>
      <c r="G64" s="4">
        <v>886</v>
      </c>
      <c r="H64" s="4">
        <v>376</v>
      </c>
      <c r="I64" s="4">
        <v>55705</v>
      </c>
      <c r="J64" s="4">
        <v>55556</v>
      </c>
      <c r="K64" s="4">
        <v>51</v>
      </c>
      <c r="L64" s="4" t="s">
        <v>60</v>
      </c>
      <c r="M64" s="4"/>
      <c r="N64">
        <v>1.0253977968176256</v>
      </c>
      <c r="P64" t="str">
        <f>IF(AND(C64 &gt;= 'Campaign Metadata'!B$2, C64 &lt;= 'Campaign Metadata'!C$2), 'Campaign Metadata'!A$2,
 IF(AND(C64 &gt;= 'Campaign Metadata'!B$3, C64 &lt;= 'Campaign Metadata'!C$3), 'Campaign Metadata'!A$3,
 IF(AND(C64 &gt;= 'Campaign Metadata'!B$4, C64 &lt;= 'Campaign Metadata'!C$4), 'Campaign Metadata'!A$4,
 IF(AND(C64 &gt;= 'Campaign Metadata'!B$5, C64 &lt;= 'Campaign Metadata'!C$5), 'Campaign Metadata'!A$5, "No Campaign"))))</f>
        <v>No Campaign</v>
      </c>
    </row>
    <row r="65" spans="1:16" ht="15.75" customHeight="1" x14ac:dyDescent="0.3">
      <c r="A65" s="4" t="s">
        <v>74</v>
      </c>
      <c r="B65" s="4" t="s">
        <v>41</v>
      </c>
      <c r="C65" s="4" t="s">
        <v>75</v>
      </c>
      <c r="D65" s="4" t="s">
        <v>21</v>
      </c>
      <c r="E65" s="4" t="s">
        <v>54</v>
      </c>
      <c r="F65" s="4">
        <v>3452</v>
      </c>
      <c r="G65" s="4">
        <v>377</v>
      </c>
      <c r="H65" s="4">
        <v>360</v>
      </c>
      <c r="I65" s="4">
        <v>55232</v>
      </c>
      <c r="J65" s="4">
        <v>55075</v>
      </c>
      <c r="K65" s="4">
        <v>87</v>
      </c>
      <c r="L65" s="4" t="s">
        <v>60</v>
      </c>
      <c r="M65" s="4"/>
      <c r="N65">
        <v>1.0162324103495233</v>
      </c>
      <c r="P65" t="str">
        <f>IF(AND(C65 &gt;= 'Campaign Metadata'!B$2, C65 &lt;= 'Campaign Metadata'!C$2), 'Campaign Metadata'!A$2,
 IF(AND(C65 &gt;= 'Campaign Metadata'!B$3, C65 &lt;= 'Campaign Metadata'!C$3), 'Campaign Metadata'!A$3,
 IF(AND(C65 &gt;= 'Campaign Metadata'!B$4, C65 &lt;= 'Campaign Metadata'!C$4), 'Campaign Metadata'!A$4,
 IF(AND(C65 &gt;= 'Campaign Metadata'!B$5, C65 &lt;= 'Campaign Metadata'!C$5), 'Campaign Metadata'!A$5, "No Campaign"))))</f>
        <v>No Campaign</v>
      </c>
    </row>
    <row r="66" spans="1:16" ht="15.75" customHeight="1" x14ac:dyDescent="0.3">
      <c r="A66" s="4" t="s">
        <v>282</v>
      </c>
      <c r="B66" s="4" t="s">
        <v>31</v>
      </c>
      <c r="C66" s="4" t="s">
        <v>268</v>
      </c>
      <c r="D66" s="4" t="s">
        <v>21</v>
      </c>
      <c r="E66" s="4" t="s">
        <v>110</v>
      </c>
      <c r="F66" s="4">
        <v>3432</v>
      </c>
      <c r="G66" s="4">
        <v>869</v>
      </c>
      <c r="H66" s="4">
        <v>123</v>
      </c>
      <c r="I66" s="4">
        <v>54912</v>
      </c>
      <c r="J66" s="4">
        <v>53916</v>
      </c>
      <c r="K66" s="4">
        <v>264</v>
      </c>
      <c r="L66" s="4" t="s">
        <v>35</v>
      </c>
      <c r="M66" s="4"/>
      <c r="N66">
        <v>1.0368721715260776</v>
      </c>
      <c r="P66" t="str">
        <f>IF(AND(C66 &gt;= 'Campaign Metadata'!B$2, C66 &lt;= 'Campaign Metadata'!C$2), 'Campaign Metadata'!A$2,
 IF(AND(C66 &gt;= 'Campaign Metadata'!B$3, C66 &lt;= 'Campaign Metadata'!C$3), 'Campaign Metadata'!A$3,
 IF(AND(C66 &gt;= 'Campaign Metadata'!B$4, C66 &lt;= 'Campaign Metadata'!C$4), 'Campaign Metadata'!A$4,
 IF(AND(C66 &gt;= 'Campaign Metadata'!B$5, C66 &lt;= 'Campaign Metadata'!C$5), 'Campaign Metadata'!A$5, "No Campaign"))))</f>
        <v>ModelYCampaign</v>
      </c>
    </row>
    <row r="67" spans="1:16" ht="15.75" customHeight="1" x14ac:dyDescent="0.3">
      <c r="A67" s="4" t="s">
        <v>392</v>
      </c>
      <c r="B67" s="4" t="s">
        <v>14</v>
      </c>
      <c r="C67" s="4" t="s">
        <v>393</v>
      </c>
      <c r="D67" s="4" t="s">
        <v>50</v>
      </c>
      <c r="E67" s="4" t="s">
        <v>129</v>
      </c>
      <c r="F67" s="4">
        <v>4858</v>
      </c>
      <c r="G67" s="4">
        <v>317</v>
      </c>
      <c r="H67" s="4">
        <v>129</v>
      </c>
      <c r="I67" s="4">
        <v>53438</v>
      </c>
      <c r="J67" s="4">
        <v>52687</v>
      </c>
      <c r="K67" s="4">
        <v>223</v>
      </c>
      <c r="L67" s="4" t="s">
        <v>35</v>
      </c>
      <c r="M67" s="4"/>
      <c r="N67">
        <v>1.0227190768121168</v>
      </c>
      <c r="P67" t="str">
        <f>IF(AND(C67 &gt;= 'Campaign Metadata'!B$2, C67 &lt;= 'Campaign Metadata'!C$2), 'Campaign Metadata'!A$2,
 IF(AND(C67 &gt;= 'Campaign Metadata'!B$3, C67 &lt;= 'Campaign Metadata'!C$3), 'Campaign Metadata'!A$3,
 IF(AND(C67 &gt;= 'Campaign Metadata'!B$4, C67 &lt;= 'Campaign Metadata'!C$4), 'Campaign Metadata'!A$4,
 IF(AND(C67 &gt;= 'Campaign Metadata'!B$5, C67 &lt;= 'Campaign Metadata'!C$5), 'Campaign Metadata'!A$5, "No Campaign"))))</f>
        <v>No Campaign</v>
      </c>
    </row>
    <row r="68" spans="1:16" ht="15.75" customHeight="1" x14ac:dyDescent="0.3">
      <c r="A68" s="4" t="s">
        <v>76</v>
      </c>
      <c r="B68" s="4" t="s">
        <v>41</v>
      </c>
      <c r="C68" s="4" t="s">
        <v>77</v>
      </c>
      <c r="D68" s="4" t="s">
        <v>21</v>
      </c>
      <c r="E68" s="4" t="s">
        <v>54</v>
      </c>
      <c r="F68" s="4">
        <v>4441</v>
      </c>
      <c r="G68" s="4">
        <v>511</v>
      </c>
      <c r="H68" s="4">
        <v>70</v>
      </c>
      <c r="I68" s="4">
        <v>53292</v>
      </c>
      <c r="J68" s="4">
        <v>53082</v>
      </c>
      <c r="K68" s="4">
        <v>159</v>
      </c>
      <c r="L68" s="4" t="s">
        <v>35</v>
      </c>
      <c r="M68" s="4"/>
      <c r="N68">
        <v>1.0149014731924193</v>
      </c>
      <c r="P68" t="str">
        <f>IF(AND(C68 &gt;= 'Campaign Metadata'!B$2, C68 &lt;= 'Campaign Metadata'!C$2), 'Campaign Metadata'!A$2,
 IF(AND(C68 &gt;= 'Campaign Metadata'!B$3, C68 &lt;= 'Campaign Metadata'!C$3), 'Campaign Metadata'!A$3,
 IF(AND(C68 &gt;= 'Campaign Metadata'!B$4, C68 &lt;= 'Campaign Metadata'!C$4), 'Campaign Metadata'!A$4,
 IF(AND(C68 &gt;= 'Campaign Metadata'!B$5, C68 &lt;= 'Campaign Metadata'!C$5), 'Campaign Metadata'!A$5, "No Campaign"))))</f>
        <v>No Campaign</v>
      </c>
    </row>
    <row r="69" spans="1:16" ht="15.75" customHeight="1" x14ac:dyDescent="0.3">
      <c r="A69" s="4" t="s">
        <v>24</v>
      </c>
      <c r="B69" s="4" t="s">
        <v>599</v>
      </c>
      <c r="C69" s="4" t="s">
        <v>26</v>
      </c>
      <c r="D69" s="4" t="s">
        <v>16</v>
      </c>
      <c r="E69" s="4" t="s">
        <v>27</v>
      </c>
      <c r="F69" s="4">
        <v>2795</v>
      </c>
      <c r="G69" s="4">
        <v>105</v>
      </c>
      <c r="H69" s="4">
        <v>49</v>
      </c>
      <c r="I69" s="4">
        <v>53105</v>
      </c>
      <c r="J69" s="4">
        <v>52307</v>
      </c>
      <c r="K69" s="4">
        <v>204</v>
      </c>
      <c r="L69" s="4" t="s">
        <v>28</v>
      </c>
      <c r="M69" s="4"/>
      <c r="N69">
        <v>1.0182002408855411</v>
      </c>
      <c r="P69" t="str">
        <f>IF(AND(C69 &gt;= 'Campaign Metadata'!B$2, C69 &lt;= 'Campaign Metadata'!C$2), 'Campaign Metadata'!A$2,
 IF(AND(C69 &gt;= 'Campaign Metadata'!B$3, C69 &lt;= 'Campaign Metadata'!C$3), 'Campaign Metadata'!A$3,
 IF(AND(C69 &gt;= 'Campaign Metadata'!B$4, C69 &lt;= 'Campaign Metadata'!C$4), 'Campaign Metadata'!A$4,
 IF(AND(C69 &gt;= 'Campaign Metadata'!B$5, C69 &lt;= 'Campaign Metadata'!C$5), 'Campaign Metadata'!A$5, "No Campaign"))))</f>
        <v>No Campaign</v>
      </c>
    </row>
    <row r="70" spans="1:16" ht="15.75" customHeight="1" x14ac:dyDescent="0.3">
      <c r="A70" s="4" t="s">
        <v>480</v>
      </c>
      <c r="B70" s="4" t="s">
        <v>14</v>
      </c>
      <c r="C70" s="4" t="s">
        <v>481</v>
      </c>
      <c r="D70" s="4" t="s">
        <v>16</v>
      </c>
      <c r="E70" s="4" t="s">
        <v>17</v>
      </c>
      <c r="F70" s="4">
        <v>3791</v>
      </c>
      <c r="G70" s="4">
        <v>593</v>
      </c>
      <c r="H70" s="4">
        <v>228</v>
      </c>
      <c r="I70" s="4">
        <v>53074</v>
      </c>
      <c r="J70" s="4">
        <v>52613</v>
      </c>
      <c r="K70" s="4">
        <v>205</v>
      </c>
      <c r="L70" s="4" t="s">
        <v>35</v>
      </c>
      <c r="N70">
        <v>1.0243666014102979</v>
      </c>
      <c r="P70" t="str">
        <f>IF(AND(C70 &gt;= 'Campaign Metadata'!B$2, C70 &lt;= 'Campaign Metadata'!C$2), 'Campaign Metadata'!A$2,
 IF(AND(C70 &gt;= 'Campaign Metadata'!B$3, C70 &lt;= 'Campaign Metadata'!C$3), 'Campaign Metadata'!A$3,
 IF(AND(C70 &gt;= 'Campaign Metadata'!B$4, C70 &lt;= 'Campaign Metadata'!C$4), 'Campaign Metadata'!A$4,
 IF(AND(C70 &gt;= 'Campaign Metadata'!B$5, C70 &lt;= 'Campaign Metadata'!C$5), 'Campaign Metadata'!A$5, "No Campaign"))))</f>
        <v>No Campaign</v>
      </c>
    </row>
    <row r="71" spans="1:16" ht="15.75" customHeight="1" x14ac:dyDescent="0.3">
      <c r="A71" s="4" t="s">
        <v>513</v>
      </c>
      <c r="B71" s="4" t="s">
        <v>14</v>
      </c>
      <c r="C71" s="4" t="s">
        <v>328</v>
      </c>
      <c r="D71" s="4" t="s">
        <v>43</v>
      </c>
      <c r="E71" s="4" t="s">
        <v>47</v>
      </c>
      <c r="F71" s="4">
        <v>3535</v>
      </c>
      <c r="G71" s="4">
        <v>494</v>
      </c>
      <c r="H71" s="4">
        <v>152</v>
      </c>
      <c r="I71" s="4">
        <v>53025</v>
      </c>
      <c r="J71" s="4">
        <v>52791</v>
      </c>
      <c r="K71" s="4">
        <v>44</v>
      </c>
      <c r="L71" s="4" t="s">
        <v>28</v>
      </c>
      <c r="M71" s="4"/>
      <c r="N71">
        <v>1.016669508060086</v>
      </c>
      <c r="P71" t="str">
        <f>IF(AND(C71 &gt;= 'Campaign Metadata'!B$2, C71 &lt;= 'Campaign Metadata'!C$2), 'Campaign Metadata'!A$2,
 IF(AND(C71 &gt;= 'Campaign Metadata'!B$3, C71 &lt;= 'Campaign Metadata'!C$3), 'Campaign Metadata'!A$3,
 IF(AND(C71 &gt;= 'Campaign Metadata'!B$4, C71 &lt;= 'Campaign Metadata'!C$4), 'Campaign Metadata'!A$4,
 IF(AND(C71 &gt;= 'Campaign Metadata'!B$5, C71 &lt;= 'Campaign Metadata'!C$5), 'Campaign Metadata'!A$5, "No Campaign"))))</f>
        <v>FSDUpdate</v>
      </c>
    </row>
    <row r="72" spans="1:16" ht="15.75" customHeight="1" x14ac:dyDescent="0.3">
      <c r="A72" s="4" t="s">
        <v>257</v>
      </c>
      <c r="B72" s="4" t="s">
        <v>14</v>
      </c>
      <c r="C72" s="4" t="s">
        <v>258</v>
      </c>
      <c r="D72" s="4" t="s">
        <v>72</v>
      </c>
      <c r="E72" s="4" t="s">
        <v>142</v>
      </c>
      <c r="F72" s="4">
        <v>4050</v>
      </c>
      <c r="G72" s="4">
        <v>871</v>
      </c>
      <c r="H72" s="4">
        <v>347</v>
      </c>
      <c r="I72" s="4">
        <v>52650</v>
      </c>
      <c r="J72" s="4">
        <v>51755</v>
      </c>
      <c r="K72" s="4">
        <v>209</v>
      </c>
      <c r="L72" s="4" t="s">
        <v>28</v>
      </c>
      <c r="M72" s="4"/>
      <c r="N72">
        <v>1.0408269732393005</v>
      </c>
      <c r="P72" t="str">
        <f>IF(AND(C72 &gt;= 'Campaign Metadata'!B$2, C72 &lt;= 'Campaign Metadata'!C$2), 'Campaign Metadata'!A$2,
 IF(AND(C72 &gt;= 'Campaign Metadata'!B$3, C72 &lt;= 'Campaign Metadata'!C$3), 'Campaign Metadata'!A$3,
 IF(AND(C72 &gt;= 'Campaign Metadata'!B$4, C72 &lt;= 'Campaign Metadata'!C$4), 'Campaign Metadata'!A$4,
 IF(AND(C72 &gt;= 'Campaign Metadata'!B$5, C72 &lt;= 'Campaign Metadata'!C$5), 'Campaign Metadata'!A$5, "No Campaign"))))</f>
        <v>SustainabilityDrive</v>
      </c>
    </row>
    <row r="73" spans="1:16" ht="15.75" customHeight="1" x14ac:dyDescent="0.3">
      <c r="A73" s="4" t="s">
        <v>359</v>
      </c>
      <c r="B73" s="4" t="s">
        <v>41</v>
      </c>
      <c r="C73" s="4" t="s">
        <v>360</v>
      </c>
      <c r="D73" s="4" t="s">
        <v>43</v>
      </c>
      <c r="E73" s="4" t="s">
        <v>44</v>
      </c>
      <c r="F73" s="4">
        <v>3073</v>
      </c>
      <c r="G73" s="4">
        <v>553</v>
      </c>
      <c r="H73" s="4">
        <v>174</v>
      </c>
      <c r="I73" s="4">
        <v>52241</v>
      </c>
      <c r="J73" s="4">
        <v>51605</v>
      </c>
      <c r="K73" s="4">
        <v>246</v>
      </c>
      <c r="L73" s="4" t="s">
        <v>35</v>
      </c>
      <c r="M73" s="4"/>
      <c r="N73">
        <v>1.0264121693634338</v>
      </c>
      <c r="P73" t="str">
        <f>IF(AND(C73 &gt;= 'Campaign Metadata'!B$2, C73 &lt;= 'Campaign Metadata'!C$2), 'Campaign Metadata'!A$2,
 IF(AND(C73 &gt;= 'Campaign Metadata'!B$3, C73 &lt;= 'Campaign Metadata'!C$3), 'Campaign Metadata'!A$3,
 IF(AND(C73 &gt;= 'Campaign Metadata'!B$4, C73 &lt;= 'Campaign Metadata'!C$4), 'Campaign Metadata'!A$4,
 IF(AND(C73 &gt;= 'Campaign Metadata'!B$5, C73 &lt;= 'Campaign Metadata'!C$5), 'Campaign Metadata'!A$5, "No Campaign"))))</f>
        <v>No Campaign</v>
      </c>
    </row>
    <row r="74" spans="1:16" ht="15.75" customHeight="1" x14ac:dyDescent="0.3">
      <c r="A74" s="4" t="s">
        <v>375</v>
      </c>
      <c r="B74" s="4" t="s">
        <v>41</v>
      </c>
      <c r="C74" s="4" t="s">
        <v>112</v>
      </c>
      <c r="D74" s="4" t="s">
        <v>50</v>
      </c>
      <c r="E74" s="4" t="s">
        <v>57</v>
      </c>
      <c r="F74" s="4">
        <v>4689</v>
      </c>
      <c r="G74" s="4">
        <v>134</v>
      </c>
      <c r="H74" s="4">
        <v>403</v>
      </c>
      <c r="I74" s="4">
        <v>51579</v>
      </c>
      <c r="J74" s="4">
        <v>50924</v>
      </c>
      <c r="K74" s="4">
        <v>173</v>
      </c>
      <c r="L74" s="4" t="s">
        <v>28</v>
      </c>
      <c r="M74" s="4"/>
      <c r="N74">
        <v>1.0234074306810148</v>
      </c>
      <c r="P74" t="str">
        <f>IF(AND(C74 &gt;= 'Campaign Metadata'!B$2, C74 &lt;= 'Campaign Metadata'!C$2), 'Campaign Metadata'!A$2,
 IF(AND(C74 &gt;= 'Campaign Metadata'!B$3, C74 &lt;= 'Campaign Metadata'!C$3), 'Campaign Metadata'!A$3,
 IF(AND(C74 &gt;= 'Campaign Metadata'!B$4, C74 &lt;= 'Campaign Metadata'!C$4), 'Campaign Metadata'!A$4,
 IF(AND(C74 &gt;= 'Campaign Metadata'!B$5, C74 &lt;= 'Campaign Metadata'!C$5), 'Campaign Metadata'!A$5, "No Campaign"))))</f>
        <v>No Campaign</v>
      </c>
    </row>
    <row r="75" spans="1:16" ht="15.75" customHeight="1" x14ac:dyDescent="0.3">
      <c r="A75" s="4" t="s">
        <v>341</v>
      </c>
      <c r="B75" s="4" t="s">
        <v>14</v>
      </c>
      <c r="C75" s="4" t="s">
        <v>342</v>
      </c>
      <c r="D75" s="4" t="s">
        <v>21</v>
      </c>
      <c r="E75" s="4" t="s">
        <v>22</v>
      </c>
      <c r="F75" s="4">
        <v>4671</v>
      </c>
      <c r="G75" s="4">
        <v>876</v>
      </c>
      <c r="H75" s="4">
        <v>366</v>
      </c>
      <c r="I75" s="4">
        <v>51381</v>
      </c>
      <c r="J75" s="4">
        <v>50565</v>
      </c>
      <c r="K75" s="4">
        <v>245</v>
      </c>
      <c r="L75" s="4" t="s">
        <v>28</v>
      </c>
      <c r="M75" s="4"/>
      <c r="N75">
        <v>1.0407000889943636</v>
      </c>
      <c r="P75" t="str">
        <f>IF(AND(C75 &gt;= 'Campaign Metadata'!B$2, C75 &lt;= 'Campaign Metadata'!C$2), 'Campaign Metadata'!A$2,
 IF(AND(C75 &gt;= 'Campaign Metadata'!B$3, C75 &lt;= 'Campaign Metadata'!C$3), 'Campaign Metadata'!A$3,
 IF(AND(C75 &gt;= 'Campaign Metadata'!B$4, C75 &lt;= 'Campaign Metadata'!C$4), 'Campaign Metadata'!A$4,
 IF(AND(C75 &gt;= 'Campaign Metadata'!B$5, C75 &lt;= 'Campaign Metadata'!C$5), 'Campaign Metadata'!A$5, "No Campaign"))))</f>
        <v>No Campaign</v>
      </c>
    </row>
    <row r="76" spans="1:16" ht="15.75" customHeight="1" x14ac:dyDescent="0.3">
      <c r="A76" s="4" t="s">
        <v>447</v>
      </c>
      <c r="B76" s="4" t="s">
        <v>41</v>
      </c>
      <c r="C76" s="4" t="s">
        <v>309</v>
      </c>
      <c r="D76" s="4" t="s">
        <v>16</v>
      </c>
      <c r="E76" s="4" t="s">
        <v>63</v>
      </c>
      <c r="F76" s="4">
        <v>3663</v>
      </c>
      <c r="G76" s="4">
        <v>17</v>
      </c>
      <c r="H76" s="4">
        <v>295</v>
      </c>
      <c r="I76" s="4">
        <v>51282</v>
      </c>
      <c r="J76" s="4">
        <v>50567</v>
      </c>
      <c r="K76" s="4">
        <v>84</v>
      </c>
      <c r="L76" s="4" t="s">
        <v>35</v>
      </c>
      <c r="M76" s="4"/>
      <c r="N76">
        <v>1.0203096881365317</v>
      </c>
      <c r="P76" t="str">
        <f>IF(AND(C76 &gt;= 'Campaign Metadata'!B$2, C76 &lt;= 'Campaign Metadata'!C$2), 'Campaign Metadata'!A$2,
 IF(AND(C76 &gt;= 'Campaign Metadata'!B$3, C76 &lt;= 'Campaign Metadata'!C$3), 'Campaign Metadata'!A$3,
 IF(AND(C76 &gt;= 'Campaign Metadata'!B$4, C76 &lt;= 'Campaign Metadata'!C$4), 'Campaign Metadata'!A$4,
 IF(AND(C76 &gt;= 'Campaign Metadata'!B$5, C76 &lt;= 'Campaign Metadata'!C$5), 'Campaign Metadata'!A$5, "No Campaign"))))</f>
        <v>CybertruckLaunch</v>
      </c>
    </row>
    <row r="77" spans="1:16" ht="15.75" customHeight="1" x14ac:dyDescent="0.3">
      <c r="A77" s="4" t="s">
        <v>138</v>
      </c>
      <c r="B77" s="4" t="s">
        <v>41</v>
      </c>
      <c r="C77" s="4" t="s">
        <v>139</v>
      </c>
      <c r="D77" s="4" t="s">
        <v>72</v>
      </c>
      <c r="E77" s="4" t="s">
        <v>73</v>
      </c>
      <c r="F77" s="4">
        <v>3371</v>
      </c>
      <c r="G77" s="4">
        <v>106</v>
      </c>
      <c r="H77" s="4">
        <v>327</v>
      </c>
      <c r="I77" s="4">
        <v>50565</v>
      </c>
      <c r="J77" s="4">
        <v>49816</v>
      </c>
      <c r="K77" s="4">
        <v>176</v>
      </c>
      <c r="L77" s="4" t="s">
        <v>60</v>
      </c>
      <c r="M77" s="4"/>
      <c r="N77">
        <v>1.0237273165248113</v>
      </c>
      <c r="P77" t="str">
        <f>IF(AND(C77 &gt;= 'Campaign Metadata'!B$2, C77 &lt;= 'Campaign Metadata'!C$2), 'Campaign Metadata'!A$2,
 IF(AND(C77 &gt;= 'Campaign Metadata'!B$3, C77 &lt;= 'Campaign Metadata'!C$3), 'Campaign Metadata'!A$3,
 IF(AND(C77 &gt;= 'Campaign Metadata'!B$4, C77 &lt;= 'Campaign Metadata'!C$4), 'Campaign Metadata'!A$4,
 IF(AND(C77 &gt;= 'Campaign Metadata'!B$5, C77 &lt;= 'Campaign Metadata'!C$5), 'Campaign Metadata'!A$5, "No Campaign"))))</f>
        <v>No Campaign</v>
      </c>
    </row>
    <row r="78" spans="1:16" ht="15.75" customHeight="1" x14ac:dyDescent="0.3">
      <c r="A78" s="4" t="s">
        <v>464</v>
      </c>
      <c r="B78" s="4" t="s">
        <v>14</v>
      </c>
      <c r="C78" s="4" t="s">
        <v>465</v>
      </c>
      <c r="D78" s="4" t="s">
        <v>50</v>
      </c>
      <c r="E78" s="4" t="s">
        <v>129</v>
      </c>
      <c r="F78" s="4">
        <v>3592</v>
      </c>
      <c r="G78" s="4">
        <v>911</v>
      </c>
      <c r="H78" s="4">
        <v>375</v>
      </c>
      <c r="I78" s="4">
        <v>50288</v>
      </c>
      <c r="J78" s="4">
        <v>49490</v>
      </c>
      <c r="K78" s="4">
        <v>32</v>
      </c>
      <c r="L78" s="4" t="s">
        <v>60</v>
      </c>
      <c r="M78" s="4"/>
      <c r="N78">
        <v>1.0421095170741563</v>
      </c>
      <c r="P78" t="str">
        <f>IF(AND(C78 &gt;= 'Campaign Metadata'!B$2, C78 &lt;= 'Campaign Metadata'!C$2), 'Campaign Metadata'!A$2,
 IF(AND(C78 &gt;= 'Campaign Metadata'!B$3, C78 &lt;= 'Campaign Metadata'!C$3), 'Campaign Metadata'!A$3,
 IF(AND(C78 &gt;= 'Campaign Metadata'!B$4, C78 &lt;= 'Campaign Metadata'!C$4), 'Campaign Metadata'!A$4,
 IF(AND(C78 &gt;= 'Campaign Metadata'!B$5, C78 &lt;= 'Campaign Metadata'!C$5), 'Campaign Metadata'!A$5, "No Campaign"))))</f>
        <v>SustainabilityDrive</v>
      </c>
    </row>
    <row r="79" spans="1:16" ht="15.75" customHeight="1" x14ac:dyDescent="0.3">
      <c r="A79" s="4" t="s">
        <v>501</v>
      </c>
      <c r="B79" s="4" t="s">
        <v>41</v>
      </c>
      <c r="C79" s="4" t="s">
        <v>126</v>
      </c>
      <c r="D79" s="4" t="s">
        <v>33</v>
      </c>
      <c r="E79" s="4" t="s">
        <v>69</v>
      </c>
      <c r="F79" s="4">
        <v>4182</v>
      </c>
      <c r="G79" s="4">
        <v>640</v>
      </c>
      <c r="H79" s="4">
        <v>240</v>
      </c>
      <c r="I79" s="4">
        <v>50184</v>
      </c>
      <c r="J79" s="4">
        <v>49351</v>
      </c>
      <c r="K79" s="4">
        <v>10</v>
      </c>
      <c r="L79" s="4" t="s">
        <v>28</v>
      </c>
      <c r="M79" s="4"/>
      <c r="N79">
        <v>1.0347105428461429</v>
      </c>
      <c r="P79" t="str">
        <f>IF(AND(C79 &gt;= 'Campaign Metadata'!B$2, C79 &lt;= 'Campaign Metadata'!C$2), 'Campaign Metadata'!A$2,
 IF(AND(C79 &gt;= 'Campaign Metadata'!B$3, C79 &lt;= 'Campaign Metadata'!C$3), 'Campaign Metadata'!A$3,
 IF(AND(C79 &gt;= 'Campaign Metadata'!B$4, C79 &lt;= 'Campaign Metadata'!C$4), 'Campaign Metadata'!A$4,
 IF(AND(C79 &gt;= 'Campaign Metadata'!B$5, C79 &lt;= 'Campaign Metadata'!C$5), 'Campaign Metadata'!A$5, "No Campaign"))))</f>
        <v>No Campaign</v>
      </c>
    </row>
    <row r="80" spans="1:16" ht="15.75" customHeight="1" x14ac:dyDescent="0.3">
      <c r="A80" s="4" t="s">
        <v>380</v>
      </c>
      <c r="B80" s="4" t="s">
        <v>31</v>
      </c>
      <c r="C80" s="4" t="s">
        <v>381</v>
      </c>
      <c r="D80" s="4" t="s">
        <v>43</v>
      </c>
      <c r="E80" s="4" t="s">
        <v>86</v>
      </c>
      <c r="F80" s="4">
        <v>4523</v>
      </c>
      <c r="G80" s="4">
        <v>61</v>
      </c>
      <c r="H80" s="4">
        <v>157</v>
      </c>
      <c r="I80" s="4">
        <v>49753</v>
      </c>
      <c r="J80" s="4">
        <v>49329</v>
      </c>
      <c r="K80" s="4">
        <v>71</v>
      </c>
      <c r="L80" s="4" t="s">
        <v>35</v>
      </c>
      <c r="N80">
        <v>1.0130146566928175</v>
      </c>
      <c r="P80" t="str">
        <f>IF(AND(C80 &gt;= 'Campaign Metadata'!B$2, C80 &lt;= 'Campaign Metadata'!C$2), 'Campaign Metadata'!A$2,
 IF(AND(C80 &gt;= 'Campaign Metadata'!B$3, C80 &lt;= 'Campaign Metadata'!C$3), 'Campaign Metadata'!A$3,
 IF(AND(C80 &gt;= 'Campaign Metadata'!B$4, C80 &lt;= 'Campaign Metadata'!C$4), 'Campaign Metadata'!A$4,
 IF(AND(C80 &gt;= 'Campaign Metadata'!B$5, C80 &lt;= 'Campaign Metadata'!C$5), 'Campaign Metadata'!A$5, "No Campaign"))))</f>
        <v>No Campaign</v>
      </c>
    </row>
    <row r="81" spans="1:16" ht="15.75" customHeight="1" x14ac:dyDescent="0.3">
      <c r="A81" s="4" t="s">
        <v>518</v>
      </c>
      <c r="B81" s="4" t="s">
        <v>14</v>
      </c>
      <c r="C81" s="4" t="s">
        <v>519</v>
      </c>
      <c r="D81" s="4" t="s">
        <v>21</v>
      </c>
      <c r="E81" s="4" t="s">
        <v>22</v>
      </c>
      <c r="F81" s="4">
        <v>4516</v>
      </c>
      <c r="G81" s="4">
        <v>836</v>
      </c>
      <c r="H81" s="4">
        <v>169</v>
      </c>
      <c r="I81" s="4">
        <v>49676</v>
      </c>
      <c r="J81" s="4">
        <v>49257</v>
      </c>
      <c r="K81" s="4">
        <v>282</v>
      </c>
      <c r="L81" s="4" t="s">
        <v>35</v>
      </c>
      <c r="M81" s="4"/>
      <c r="N81">
        <v>1.0289095966055586</v>
      </c>
      <c r="P81" t="str">
        <f>IF(AND(C81 &gt;= 'Campaign Metadata'!B$2, C81 &lt;= 'Campaign Metadata'!C$2), 'Campaign Metadata'!A$2,
 IF(AND(C81 &gt;= 'Campaign Metadata'!B$3, C81 &lt;= 'Campaign Metadata'!C$3), 'Campaign Metadata'!A$3,
 IF(AND(C81 &gt;= 'Campaign Metadata'!B$4, C81 &lt;= 'Campaign Metadata'!C$4), 'Campaign Metadata'!A$4,
 IF(AND(C81 &gt;= 'Campaign Metadata'!B$5, C81 &lt;= 'Campaign Metadata'!C$5), 'Campaign Metadata'!A$5, "No Campaign"))))</f>
        <v>No Campaign</v>
      </c>
    </row>
    <row r="82" spans="1:16" ht="15.75" customHeight="1" x14ac:dyDescent="0.3">
      <c r="A82" s="4" t="s">
        <v>486</v>
      </c>
      <c r="B82" s="4" t="s">
        <v>41</v>
      </c>
      <c r="C82" s="4" t="s">
        <v>285</v>
      </c>
      <c r="D82" s="4" t="s">
        <v>50</v>
      </c>
      <c r="E82" s="4" t="s">
        <v>57</v>
      </c>
      <c r="F82" s="4">
        <v>3090</v>
      </c>
      <c r="G82" s="4">
        <v>697</v>
      </c>
      <c r="H82" s="4">
        <v>164</v>
      </c>
      <c r="I82" s="4">
        <v>49440</v>
      </c>
      <c r="J82" s="4">
        <v>48524</v>
      </c>
      <c r="K82" s="4">
        <v>25</v>
      </c>
      <c r="L82" s="4" t="s">
        <v>35</v>
      </c>
      <c r="M82" s="4" t="s">
        <v>35</v>
      </c>
      <c r="N82">
        <v>1.0366210534992992</v>
      </c>
      <c r="P82" t="str">
        <f>IF(AND(C82 &gt;= 'Campaign Metadata'!B$2, C82 &lt;= 'Campaign Metadata'!C$2), 'Campaign Metadata'!A$2,
 IF(AND(C82 &gt;= 'Campaign Metadata'!B$3, C82 &lt;= 'Campaign Metadata'!C$3), 'Campaign Metadata'!A$3,
 IF(AND(C82 &gt;= 'Campaign Metadata'!B$4, C82 &lt;= 'Campaign Metadata'!C$4), 'Campaign Metadata'!A$4,
 IF(AND(C82 &gt;= 'Campaign Metadata'!B$5, C82 &lt;= 'Campaign Metadata'!C$5), 'Campaign Metadata'!A$5, "No Campaign"))))</f>
        <v>No Campaign</v>
      </c>
    </row>
    <row r="83" spans="1:16" ht="15.75" customHeight="1" x14ac:dyDescent="0.3">
      <c r="A83" s="4" t="s">
        <v>372</v>
      </c>
      <c r="B83" s="4" t="s">
        <v>599</v>
      </c>
      <c r="C83" s="4" t="s">
        <v>354</v>
      </c>
      <c r="D83" s="4" t="s">
        <v>21</v>
      </c>
      <c r="E83" s="4" t="s">
        <v>101</v>
      </c>
      <c r="F83" s="4">
        <v>3711</v>
      </c>
      <c r="G83" s="4">
        <v>352</v>
      </c>
      <c r="H83" s="4">
        <v>290</v>
      </c>
      <c r="I83" s="4">
        <v>48243</v>
      </c>
      <c r="J83" s="4">
        <v>47579</v>
      </c>
      <c r="K83" s="4">
        <v>11</v>
      </c>
      <c r="L83" s="4" t="s">
        <v>28</v>
      </c>
      <c r="M83" s="4"/>
      <c r="N83">
        <v>1.027449084680216</v>
      </c>
      <c r="P83" t="str">
        <f>IF(AND(C83 &gt;= 'Campaign Metadata'!B$2, C83 &lt;= 'Campaign Metadata'!C$2), 'Campaign Metadata'!A$2,
 IF(AND(C83 &gt;= 'Campaign Metadata'!B$3, C83 &lt;= 'Campaign Metadata'!C$3), 'Campaign Metadata'!A$3,
 IF(AND(C83 &gt;= 'Campaign Metadata'!B$4, C83 &lt;= 'Campaign Metadata'!C$4), 'Campaign Metadata'!A$4,
 IF(AND(C83 &gt;= 'Campaign Metadata'!B$5, C83 &lt;= 'Campaign Metadata'!C$5), 'Campaign Metadata'!A$5, "No Campaign"))))</f>
        <v>No Campaign</v>
      </c>
    </row>
    <row r="84" spans="1:16" ht="15.75" customHeight="1" x14ac:dyDescent="0.3">
      <c r="A84" s="4" t="s">
        <v>343</v>
      </c>
      <c r="B84" s="4" t="s">
        <v>41</v>
      </c>
      <c r="C84" s="4" t="s">
        <v>344</v>
      </c>
      <c r="D84" s="4" t="s">
        <v>33</v>
      </c>
      <c r="E84" s="4" t="s">
        <v>69</v>
      </c>
      <c r="F84" s="4">
        <v>3430</v>
      </c>
      <c r="G84" s="4">
        <v>566</v>
      </c>
      <c r="H84" s="4">
        <v>164</v>
      </c>
      <c r="I84" s="4">
        <v>48020</v>
      </c>
      <c r="J84" s="4">
        <v>47305</v>
      </c>
      <c r="K84" s="4">
        <v>120</v>
      </c>
      <c r="L84" s="4" t="s">
        <v>60</v>
      </c>
      <c r="N84">
        <v>1.0305464538632281</v>
      </c>
      <c r="P84" t="str">
        <f>IF(AND(C84 &gt;= 'Campaign Metadata'!B$2, C84 &lt;= 'Campaign Metadata'!C$2), 'Campaign Metadata'!A$2,
 IF(AND(C84 &gt;= 'Campaign Metadata'!B$3, C84 &lt;= 'Campaign Metadata'!C$3), 'Campaign Metadata'!A$3,
 IF(AND(C84 &gt;= 'Campaign Metadata'!B$4, C84 &lt;= 'Campaign Metadata'!C$4), 'Campaign Metadata'!A$4,
 IF(AND(C84 &gt;= 'Campaign Metadata'!B$5, C84 &lt;= 'Campaign Metadata'!C$5), 'Campaign Metadata'!A$5, "No Campaign"))))</f>
        <v>No Campaign</v>
      </c>
    </row>
    <row r="85" spans="1:16" ht="15.75" customHeight="1" x14ac:dyDescent="0.3">
      <c r="A85" s="4" t="s">
        <v>334</v>
      </c>
      <c r="B85" s="4" t="s">
        <v>599</v>
      </c>
      <c r="C85" s="4" t="s">
        <v>335</v>
      </c>
      <c r="D85" s="4" t="s">
        <v>33</v>
      </c>
      <c r="E85" s="4" t="s">
        <v>151</v>
      </c>
      <c r="F85" s="4">
        <v>4775</v>
      </c>
      <c r="G85" s="4">
        <v>173</v>
      </c>
      <c r="H85" s="4">
        <v>206</v>
      </c>
      <c r="I85" s="4">
        <v>47750</v>
      </c>
      <c r="J85" s="4">
        <v>47544</v>
      </c>
      <c r="K85" s="4">
        <v>187</v>
      </c>
      <c r="L85" s="4" t="s">
        <v>60</v>
      </c>
      <c r="M85" s="4"/>
      <c r="N85">
        <v>1.0123043917213528</v>
      </c>
      <c r="P85" t="str">
        <f>IF(AND(C85 &gt;= 'Campaign Metadata'!B$2, C85 &lt;= 'Campaign Metadata'!C$2), 'Campaign Metadata'!A$2,
 IF(AND(C85 &gt;= 'Campaign Metadata'!B$3, C85 &lt;= 'Campaign Metadata'!C$3), 'Campaign Metadata'!A$3,
 IF(AND(C85 &gt;= 'Campaign Metadata'!B$4, C85 &lt;= 'Campaign Metadata'!C$4), 'Campaign Metadata'!A$4,
 IF(AND(C85 &gt;= 'Campaign Metadata'!B$5, C85 &lt;= 'Campaign Metadata'!C$5), 'Campaign Metadata'!A$5, "No Campaign"))))</f>
        <v>No Campaign</v>
      </c>
    </row>
    <row r="86" spans="1:16" ht="15.75" customHeight="1" x14ac:dyDescent="0.3">
      <c r="A86" s="4" t="s">
        <v>412</v>
      </c>
      <c r="B86" s="4" t="s">
        <v>14</v>
      </c>
      <c r="C86" s="4" t="s">
        <v>299</v>
      </c>
      <c r="D86" s="4" t="s">
        <v>72</v>
      </c>
      <c r="E86" s="4" t="s">
        <v>142</v>
      </c>
      <c r="F86" s="4">
        <v>3820</v>
      </c>
      <c r="G86" s="4">
        <v>697</v>
      </c>
      <c r="H86" s="4">
        <v>268</v>
      </c>
      <c r="I86" s="4">
        <v>45840</v>
      </c>
      <c r="J86" s="4">
        <v>45631</v>
      </c>
      <c r="K86" s="4">
        <v>171</v>
      </c>
      <c r="L86" s="4" t="s">
        <v>28</v>
      </c>
      <c r="M86" s="4" t="s">
        <v>593</v>
      </c>
      <c r="N86">
        <v>1.0257281234248647</v>
      </c>
      <c r="P86" t="str">
        <f>IF(AND(C86 &gt;= 'Campaign Metadata'!B$2, C86 &lt;= 'Campaign Metadata'!C$2), 'Campaign Metadata'!A$2,
 IF(AND(C86 &gt;= 'Campaign Metadata'!B$3, C86 &lt;= 'Campaign Metadata'!C$3), 'Campaign Metadata'!A$3,
 IF(AND(C86 &gt;= 'Campaign Metadata'!B$4, C86 &lt;= 'Campaign Metadata'!C$4), 'Campaign Metadata'!A$4,
 IF(AND(C86 &gt;= 'Campaign Metadata'!B$5, C86 &lt;= 'Campaign Metadata'!C$5), 'Campaign Metadata'!A$5, "No Campaign"))))</f>
        <v>No Campaign</v>
      </c>
    </row>
    <row r="87" spans="1:16" ht="15.75" customHeight="1" x14ac:dyDescent="0.3">
      <c r="A87" s="4" t="s">
        <v>423</v>
      </c>
      <c r="B87" s="4" t="s">
        <v>41</v>
      </c>
      <c r="C87" s="4" t="s">
        <v>424</v>
      </c>
      <c r="D87" s="4" t="s">
        <v>43</v>
      </c>
      <c r="E87" s="4" t="s">
        <v>44</v>
      </c>
      <c r="F87" s="4">
        <v>2696</v>
      </c>
      <c r="G87" s="4">
        <v>628</v>
      </c>
      <c r="H87" s="4">
        <v>443</v>
      </c>
      <c r="I87" s="4">
        <v>45832</v>
      </c>
      <c r="J87" s="4">
        <v>45632</v>
      </c>
      <c r="K87" s="4">
        <v>248</v>
      </c>
      <c r="L87" s="4" t="s">
        <v>35</v>
      </c>
      <c r="M87" s="4"/>
      <c r="N87">
        <v>1.0278532608695652</v>
      </c>
      <c r="P87" t="str">
        <f>IF(AND(C87 &gt;= 'Campaign Metadata'!B$2, C87 &lt;= 'Campaign Metadata'!C$2), 'Campaign Metadata'!A$2,
 IF(AND(C87 &gt;= 'Campaign Metadata'!B$3, C87 &lt;= 'Campaign Metadata'!C$3), 'Campaign Metadata'!A$3,
 IF(AND(C87 &gt;= 'Campaign Metadata'!B$4, C87 &lt;= 'Campaign Metadata'!C$4), 'Campaign Metadata'!A$4,
 IF(AND(C87 &gt;= 'Campaign Metadata'!B$5, C87 &lt;= 'Campaign Metadata'!C$5), 'Campaign Metadata'!A$5, "No Campaign"))))</f>
        <v>No Campaign</v>
      </c>
    </row>
    <row r="88" spans="1:16" ht="15.75" customHeight="1" x14ac:dyDescent="0.3">
      <c r="A88" s="4" t="s">
        <v>288</v>
      </c>
      <c r="B88" s="4" t="s">
        <v>31</v>
      </c>
      <c r="C88" s="4" t="s">
        <v>179</v>
      </c>
      <c r="D88" s="4" t="s">
        <v>43</v>
      </c>
      <c r="E88" s="4" t="s">
        <v>86</v>
      </c>
      <c r="F88" s="4">
        <v>4158</v>
      </c>
      <c r="G88" s="4">
        <v>167</v>
      </c>
      <c r="H88" s="4">
        <v>241</v>
      </c>
      <c r="I88" s="4">
        <v>45738</v>
      </c>
      <c r="J88" s="4">
        <v>45183</v>
      </c>
      <c r="K88" s="4">
        <v>142</v>
      </c>
      <c r="L88" s="4" t="s">
        <v>60</v>
      </c>
      <c r="N88">
        <v>1.0213133258083793</v>
      </c>
      <c r="P88" t="str">
        <f>IF(AND(C88 &gt;= 'Campaign Metadata'!B$2, C88 &lt;= 'Campaign Metadata'!C$2), 'Campaign Metadata'!A$2,
 IF(AND(C88 &gt;= 'Campaign Metadata'!B$3, C88 &lt;= 'Campaign Metadata'!C$3), 'Campaign Metadata'!A$3,
 IF(AND(C88 &gt;= 'Campaign Metadata'!B$4, C88 &lt;= 'Campaign Metadata'!C$4), 'Campaign Metadata'!A$4,
 IF(AND(C88 &gt;= 'Campaign Metadata'!B$5, C88 &lt;= 'Campaign Metadata'!C$5), 'Campaign Metadata'!A$5, "No Campaign"))))</f>
        <v>SustainabilityDrive</v>
      </c>
    </row>
    <row r="89" spans="1:16" ht="15.75" customHeight="1" x14ac:dyDescent="0.3">
      <c r="A89" s="4" t="s">
        <v>163</v>
      </c>
      <c r="B89" s="4" t="s">
        <v>14</v>
      </c>
      <c r="C89" s="4" t="s">
        <v>164</v>
      </c>
      <c r="D89" s="4" t="s">
        <v>72</v>
      </c>
      <c r="E89" s="4" t="s">
        <v>142</v>
      </c>
      <c r="F89" s="4">
        <v>2825</v>
      </c>
      <c r="G89" s="4">
        <v>535</v>
      </c>
      <c r="H89" s="4">
        <v>295</v>
      </c>
      <c r="I89" s="4">
        <v>45200</v>
      </c>
      <c r="J89" s="4">
        <v>44739</v>
      </c>
      <c r="K89" s="4">
        <v>169</v>
      </c>
      <c r="L89" s="4" t="s">
        <v>28</v>
      </c>
      <c r="M89" s="4"/>
      <c r="N89">
        <v>1.0288562551688683</v>
      </c>
      <c r="P89" t="str">
        <f>IF(AND(C89 &gt;= 'Campaign Metadata'!B$2, C89 &lt;= 'Campaign Metadata'!C$2), 'Campaign Metadata'!A$2,
 IF(AND(C89 &gt;= 'Campaign Metadata'!B$3, C89 &lt;= 'Campaign Metadata'!C$3), 'Campaign Metadata'!A$3,
 IF(AND(C89 &gt;= 'Campaign Metadata'!B$4, C89 &lt;= 'Campaign Metadata'!C$4), 'Campaign Metadata'!A$4,
 IF(AND(C89 &gt;= 'Campaign Metadata'!B$5, C89 &lt;= 'Campaign Metadata'!C$5), 'Campaign Metadata'!A$5, "No Campaign"))))</f>
        <v>ModelYCampaign</v>
      </c>
    </row>
    <row r="90" spans="1:16" ht="15.75" customHeight="1" x14ac:dyDescent="0.3">
      <c r="A90" s="4" t="s">
        <v>417</v>
      </c>
      <c r="B90" s="4" t="s">
        <v>14</v>
      </c>
      <c r="C90" s="4" t="s">
        <v>418</v>
      </c>
      <c r="D90" s="4" t="s">
        <v>72</v>
      </c>
      <c r="E90" s="4" t="s">
        <v>142</v>
      </c>
      <c r="F90" s="4">
        <v>3160</v>
      </c>
      <c r="G90" s="4">
        <v>204</v>
      </c>
      <c r="H90" s="4">
        <v>297</v>
      </c>
      <c r="I90" s="4">
        <v>44240</v>
      </c>
      <c r="J90" s="4">
        <v>43666</v>
      </c>
      <c r="K90" s="4">
        <v>49</v>
      </c>
      <c r="L90" s="4" t="s">
        <v>60</v>
      </c>
      <c r="M90" s="4" t="s">
        <v>600</v>
      </c>
      <c r="N90">
        <v>1.0246186964686483</v>
      </c>
      <c r="P90" t="str">
        <f>IF(AND(C90 &gt;= 'Campaign Metadata'!B$2, C90 &lt;= 'Campaign Metadata'!C$2), 'Campaign Metadata'!A$2,
 IF(AND(C90 &gt;= 'Campaign Metadata'!B$3, C90 &lt;= 'Campaign Metadata'!C$3), 'Campaign Metadata'!A$3,
 IF(AND(C90 &gt;= 'Campaign Metadata'!B$4, C90 &lt;= 'Campaign Metadata'!C$4), 'Campaign Metadata'!A$4,
 IF(AND(C90 &gt;= 'Campaign Metadata'!B$5, C90 &lt;= 'Campaign Metadata'!C$5), 'Campaign Metadata'!A$5, "No Campaign"))))</f>
        <v>SustainabilityDrive</v>
      </c>
    </row>
    <row r="91" spans="1:16" ht="15.75" customHeight="1" x14ac:dyDescent="0.3">
      <c r="A91" s="4" t="s">
        <v>416</v>
      </c>
      <c r="B91" s="4" t="s">
        <v>599</v>
      </c>
      <c r="C91" s="4" t="s">
        <v>46</v>
      </c>
      <c r="D91" s="4" t="s">
        <v>72</v>
      </c>
      <c r="E91" s="4" t="s">
        <v>213</v>
      </c>
      <c r="F91" s="4">
        <v>2949</v>
      </c>
      <c r="G91" s="4">
        <v>476</v>
      </c>
      <c r="H91" s="4">
        <v>403</v>
      </c>
      <c r="I91" s="4">
        <v>44235</v>
      </c>
      <c r="J91" s="4">
        <v>43705</v>
      </c>
      <c r="K91" s="4">
        <v>135</v>
      </c>
      <c r="L91" s="4" t="s">
        <v>28</v>
      </c>
      <c r="M91" s="4"/>
      <c r="N91">
        <v>1.0322388742706785</v>
      </c>
      <c r="P91" t="str">
        <f>IF(AND(C91 &gt;= 'Campaign Metadata'!B$2, C91 &lt;= 'Campaign Metadata'!C$2), 'Campaign Metadata'!A$2,
 IF(AND(C91 &gt;= 'Campaign Metadata'!B$3, C91 &lt;= 'Campaign Metadata'!C$3), 'Campaign Metadata'!A$3,
 IF(AND(C91 &gt;= 'Campaign Metadata'!B$4, C91 &lt;= 'Campaign Metadata'!C$4), 'Campaign Metadata'!A$4,
 IF(AND(C91 &gt;= 'Campaign Metadata'!B$5, C91 &lt;= 'Campaign Metadata'!C$5), 'Campaign Metadata'!A$5, "No Campaign"))))</f>
        <v>CybertruckLaunch</v>
      </c>
    </row>
    <row r="92" spans="1:16" ht="15.75" customHeight="1" x14ac:dyDescent="0.3">
      <c r="A92" s="4" t="s">
        <v>267</v>
      </c>
      <c r="B92" s="4" t="s">
        <v>14</v>
      </c>
      <c r="C92" s="4" t="s">
        <v>268</v>
      </c>
      <c r="D92" s="4" t="s">
        <v>43</v>
      </c>
      <c r="E92" s="4" t="s">
        <v>47</v>
      </c>
      <c r="F92" s="4">
        <v>4419</v>
      </c>
      <c r="G92" s="4">
        <v>236</v>
      </c>
      <c r="H92" s="4">
        <v>369</v>
      </c>
      <c r="I92" s="4">
        <v>44190</v>
      </c>
      <c r="J92" s="4">
        <v>43582</v>
      </c>
      <c r="K92" s="4">
        <v>10</v>
      </c>
      <c r="L92" s="4" t="s">
        <v>35</v>
      </c>
      <c r="M92" s="4"/>
      <c r="N92">
        <v>1.0278325914368318</v>
      </c>
      <c r="P92" t="str">
        <f>IF(AND(C92 &gt;= 'Campaign Metadata'!B$2, C92 &lt;= 'Campaign Metadata'!C$2), 'Campaign Metadata'!A$2,
 IF(AND(C92 &gt;= 'Campaign Metadata'!B$3, C92 &lt;= 'Campaign Metadata'!C$3), 'Campaign Metadata'!A$3,
 IF(AND(C92 &gt;= 'Campaign Metadata'!B$4, C92 &lt;= 'Campaign Metadata'!C$4), 'Campaign Metadata'!A$4,
 IF(AND(C92 &gt;= 'Campaign Metadata'!B$5, C92 &lt;= 'Campaign Metadata'!C$5), 'Campaign Metadata'!A$5, "No Campaign"))))</f>
        <v>ModelYCampaign</v>
      </c>
    </row>
    <row r="93" spans="1:16" ht="15.75" customHeight="1" x14ac:dyDescent="0.3">
      <c r="A93" s="4" t="s">
        <v>535</v>
      </c>
      <c r="B93" s="4" t="s">
        <v>41</v>
      </c>
      <c r="C93" s="4" t="s">
        <v>301</v>
      </c>
      <c r="D93" s="4" t="s">
        <v>43</v>
      </c>
      <c r="E93" s="4" t="s">
        <v>44</v>
      </c>
      <c r="F93" s="4">
        <v>2751</v>
      </c>
      <c r="G93" s="4">
        <v>33</v>
      </c>
      <c r="H93" s="4">
        <v>430</v>
      </c>
      <c r="I93" s="4">
        <v>44016</v>
      </c>
      <c r="J93" s="4">
        <v>43415</v>
      </c>
      <c r="K93" s="4">
        <v>129</v>
      </c>
      <c r="L93" s="4" t="s">
        <v>60</v>
      </c>
      <c r="N93">
        <v>1.0245076586433259</v>
      </c>
      <c r="P93" t="str">
        <f>IF(AND(C93 &gt;= 'Campaign Metadata'!B$2, C93 &lt;= 'Campaign Metadata'!C$2), 'Campaign Metadata'!A$2,
 IF(AND(C93 &gt;= 'Campaign Metadata'!B$3, C93 &lt;= 'Campaign Metadata'!C$3), 'Campaign Metadata'!A$3,
 IF(AND(C93 &gt;= 'Campaign Metadata'!B$4, C93 &lt;= 'Campaign Metadata'!C$4), 'Campaign Metadata'!A$4,
 IF(AND(C93 &gt;= 'Campaign Metadata'!B$5, C93 &lt;= 'Campaign Metadata'!C$5), 'Campaign Metadata'!A$5, "No Campaign"))))</f>
        <v>No Campaign</v>
      </c>
    </row>
    <row r="94" spans="1:16" ht="15.75" customHeight="1" x14ac:dyDescent="0.3">
      <c r="A94" s="4" t="s">
        <v>171</v>
      </c>
      <c r="B94" s="4" t="s">
        <v>14</v>
      </c>
      <c r="C94" s="4" t="s">
        <v>172</v>
      </c>
      <c r="D94" s="4" t="s">
        <v>72</v>
      </c>
      <c r="E94" s="4" t="s">
        <v>142</v>
      </c>
      <c r="F94" s="4">
        <v>4886</v>
      </c>
      <c r="G94" s="4">
        <v>983</v>
      </c>
      <c r="H94" s="4">
        <v>409</v>
      </c>
      <c r="I94" s="4">
        <v>43974</v>
      </c>
      <c r="J94" s="4">
        <v>43239</v>
      </c>
      <c r="K94" s="4">
        <v>65</v>
      </c>
      <c r="L94" s="4" t="s">
        <v>28</v>
      </c>
      <c r="M94" s="4"/>
      <c r="N94">
        <v>1.0491917019357524</v>
      </c>
      <c r="P94" t="str">
        <f>IF(AND(C94 &gt;= 'Campaign Metadata'!B$2, C94 &lt;= 'Campaign Metadata'!C$2), 'Campaign Metadata'!A$2,
 IF(AND(C94 &gt;= 'Campaign Metadata'!B$3, C94 &lt;= 'Campaign Metadata'!C$3), 'Campaign Metadata'!A$3,
 IF(AND(C94 &gt;= 'Campaign Metadata'!B$4, C94 &lt;= 'Campaign Metadata'!C$4), 'Campaign Metadata'!A$4,
 IF(AND(C94 &gt;= 'Campaign Metadata'!B$5, C94 &lt;= 'Campaign Metadata'!C$5), 'Campaign Metadata'!A$5, "No Campaign"))))</f>
        <v>No Campaign</v>
      </c>
    </row>
    <row r="95" spans="1:16" ht="15.75" customHeight="1" x14ac:dyDescent="0.3">
      <c r="A95" s="4" t="s">
        <v>332</v>
      </c>
      <c r="B95" s="4" t="s">
        <v>41</v>
      </c>
      <c r="C95" s="4" t="s">
        <v>333</v>
      </c>
      <c r="D95" s="4" t="s">
        <v>43</v>
      </c>
      <c r="E95" s="4" t="s">
        <v>44</v>
      </c>
      <c r="F95" s="4">
        <v>3352</v>
      </c>
      <c r="G95" s="4">
        <v>941</v>
      </c>
      <c r="H95" s="4">
        <v>482</v>
      </c>
      <c r="I95" s="4">
        <v>43576</v>
      </c>
      <c r="J95" s="4">
        <v>43338</v>
      </c>
      <c r="K95" s="4">
        <v>240</v>
      </c>
      <c r="L95" s="4" t="s">
        <v>60</v>
      </c>
      <c r="M95" s="4"/>
      <c r="N95">
        <v>1.0383266417462735</v>
      </c>
      <c r="P95" t="str">
        <f>IF(AND(C95 &gt;= 'Campaign Metadata'!B$2, C95 &lt;= 'Campaign Metadata'!C$2), 'Campaign Metadata'!A$2,
 IF(AND(C95 &gt;= 'Campaign Metadata'!B$3, C95 &lt;= 'Campaign Metadata'!C$3), 'Campaign Metadata'!A$3,
 IF(AND(C95 &gt;= 'Campaign Metadata'!B$4, C95 &lt;= 'Campaign Metadata'!C$4), 'Campaign Metadata'!A$4,
 IF(AND(C95 &gt;= 'Campaign Metadata'!B$5, C95 &lt;= 'Campaign Metadata'!C$5), 'Campaign Metadata'!A$5, "No Campaign"))))</f>
        <v>ModelYCampaign</v>
      </c>
    </row>
    <row r="96" spans="1:16" ht="15.75" customHeight="1" x14ac:dyDescent="0.3">
      <c r="A96" s="4" t="s">
        <v>294</v>
      </c>
      <c r="B96" s="4" t="s">
        <v>31</v>
      </c>
      <c r="C96" s="4" t="s">
        <v>164</v>
      </c>
      <c r="D96" s="4" t="s">
        <v>16</v>
      </c>
      <c r="E96" s="4" t="s">
        <v>80</v>
      </c>
      <c r="F96" s="4">
        <v>4840</v>
      </c>
      <c r="G96" s="4">
        <v>658</v>
      </c>
      <c r="H96" s="4">
        <v>211</v>
      </c>
      <c r="I96" s="4">
        <v>43560</v>
      </c>
      <c r="J96" s="4">
        <v>43225</v>
      </c>
      <c r="K96" s="4">
        <v>57</v>
      </c>
      <c r="L96" s="4" t="s">
        <v>60</v>
      </c>
      <c r="M96" s="4"/>
      <c r="N96">
        <v>1.0278542510121458</v>
      </c>
      <c r="P96" t="str">
        <f>IF(AND(C96 &gt;= 'Campaign Metadata'!B$2, C96 &lt;= 'Campaign Metadata'!C$2), 'Campaign Metadata'!A$2,
 IF(AND(C96 &gt;= 'Campaign Metadata'!B$3, C96 &lt;= 'Campaign Metadata'!C$3), 'Campaign Metadata'!A$3,
 IF(AND(C96 &gt;= 'Campaign Metadata'!B$4, C96 &lt;= 'Campaign Metadata'!C$4), 'Campaign Metadata'!A$4,
 IF(AND(C96 &gt;= 'Campaign Metadata'!B$5, C96 &lt;= 'Campaign Metadata'!C$5), 'Campaign Metadata'!A$5, "No Campaign"))))</f>
        <v>ModelYCampaign</v>
      </c>
    </row>
    <row r="97" spans="1:16" ht="15.75" customHeight="1" x14ac:dyDescent="0.3">
      <c r="A97" s="4" t="s">
        <v>351</v>
      </c>
      <c r="B97" s="4" t="s">
        <v>41</v>
      </c>
      <c r="C97" s="4" t="s">
        <v>352</v>
      </c>
      <c r="D97" s="4" t="s">
        <v>21</v>
      </c>
      <c r="E97" s="4" t="s">
        <v>54</v>
      </c>
      <c r="F97" s="4">
        <v>2418</v>
      </c>
      <c r="G97" s="4">
        <v>754</v>
      </c>
      <c r="H97" s="4">
        <v>54</v>
      </c>
      <c r="I97" s="4">
        <v>43524</v>
      </c>
      <c r="J97" s="4">
        <v>42743</v>
      </c>
      <c r="K97" s="4">
        <v>182</v>
      </c>
      <c r="L97" s="4" t="s">
        <v>35</v>
      </c>
      <c r="M97" s="4"/>
      <c r="N97">
        <v>1.0371756778887771</v>
      </c>
      <c r="P97" t="str">
        <f>IF(AND(C97 &gt;= 'Campaign Metadata'!B$2, C97 &lt;= 'Campaign Metadata'!C$2), 'Campaign Metadata'!A$2,
 IF(AND(C97 &gt;= 'Campaign Metadata'!B$3, C97 &lt;= 'Campaign Metadata'!C$3), 'Campaign Metadata'!A$3,
 IF(AND(C97 &gt;= 'Campaign Metadata'!B$4, C97 &lt;= 'Campaign Metadata'!C$4), 'Campaign Metadata'!A$4,
 IF(AND(C97 &gt;= 'Campaign Metadata'!B$5, C97 &lt;= 'Campaign Metadata'!C$5), 'Campaign Metadata'!A$5, "No Campaign"))))</f>
        <v>No Campaign</v>
      </c>
    </row>
    <row r="98" spans="1:16" ht="15.75" customHeight="1" x14ac:dyDescent="0.3">
      <c r="A98" s="4" t="s">
        <v>368</v>
      </c>
      <c r="B98" s="4" t="s">
        <v>31</v>
      </c>
      <c r="C98" s="4" t="s">
        <v>369</v>
      </c>
      <c r="D98" s="4" t="s">
        <v>43</v>
      </c>
      <c r="E98" s="4" t="s">
        <v>86</v>
      </c>
      <c r="F98" s="4">
        <v>3099</v>
      </c>
      <c r="G98" s="4">
        <v>694</v>
      </c>
      <c r="H98" s="4">
        <v>171</v>
      </c>
      <c r="I98" s="4">
        <v>43386</v>
      </c>
      <c r="J98" s="4">
        <v>42921</v>
      </c>
      <c r="K98" s="4">
        <v>52</v>
      </c>
      <c r="L98" s="4" t="s">
        <v>28</v>
      </c>
      <c r="M98" s="4"/>
      <c r="N98">
        <v>1.0309871624612661</v>
      </c>
      <c r="P98" t="str">
        <f>IF(AND(C98 &gt;= 'Campaign Metadata'!B$2, C98 &lt;= 'Campaign Metadata'!C$2), 'Campaign Metadata'!A$2,
 IF(AND(C98 &gt;= 'Campaign Metadata'!B$3, C98 &lt;= 'Campaign Metadata'!C$3), 'Campaign Metadata'!A$3,
 IF(AND(C98 &gt;= 'Campaign Metadata'!B$4, C98 &lt;= 'Campaign Metadata'!C$4), 'Campaign Metadata'!A$4,
 IF(AND(C98 &gt;= 'Campaign Metadata'!B$5, C98 &lt;= 'Campaign Metadata'!C$5), 'Campaign Metadata'!A$5, "No Campaign"))))</f>
        <v>CybertruckLaunch</v>
      </c>
    </row>
    <row r="99" spans="1:16" ht="15.75" customHeight="1" x14ac:dyDescent="0.3">
      <c r="A99" s="4" t="s">
        <v>48</v>
      </c>
      <c r="B99" s="4" t="s">
        <v>599</v>
      </c>
      <c r="C99" s="4" t="s">
        <v>49</v>
      </c>
      <c r="D99" s="4" t="s">
        <v>50</v>
      </c>
      <c r="E99" s="4" t="s">
        <v>51</v>
      </c>
      <c r="F99" s="4">
        <v>3929</v>
      </c>
      <c r="G99" s="4">
        <v>262</v>
      </c>
      <c r="H99" s="4">
        <v>278</v>
      </c>
      <c r="I99" s="4">
        <v>43219</v>
      </c>
      <c r="J99" s="4">
        <v>42841</v>
      </c>
      <c r="K99" s="4">
        <v>39</v>
      </c>
      <c r="L99" s="4" t="s">
        <v>35</v>
      </c>
      <c r="M99" s="4"/>
      <c r="N99">
        <v>1.0214280712401671</v>
      </c>
      <c r="P99" t="str">
        <f>IF(AND(C99 &gt;= 'Campaign Metadata'!B$2, C99 &lt;= 'Campaign Metadata'!C$2), 'Campaign Metadata'!A$2,
 IF(AND(C99 &gt;= 'Campaign Metadata'!B$3, C99 &lt;= 'Campaign Metadata'!C$3), 'Campaign Metadata'!A$3,
 IF(AND(C99 &gt;= 'Campaign Metadata'!B$4, C99 &lt;= 'Campaign Metadata'!C$4), 'Campaign Metadata'!A$4,
 IF(AND(C99 &gt;= 'Campaign Metadata'!B$5, C99 &lt;= 'Campaign Metadata'!C$5), 'Campaign Metadata'!A$5, "No Campaign"))))</f>
        <v>CybertruckLaunch</v>
      </c>
    </row>
    <row r="100" spans="1:16" ht="15.75" customHeight="1" x14ac:dyDescent="0.3">
      <c r="A100" s="4" t="s">
        <v>446</v>
      </c>
      <c r="B100" s="4" t="s">
        <v>31</v>
      </c>
      <c r="C100" s="4" t="s">
        <v>150</v>
      </c>
      <c r="D100" s="4" t="s">
        <v>43</v>
      </c>
      <c r="E100" s="4" t="s">
        <v>86</v>
      </c>
      <c r="F100" s="4">
        <v>4799</v>
      </c>
      <c r="G100" s="4">
        <v>694</v>
      </c>
      <c r="H100" s="4">
        <v>289</v>
      </c>
      <c r="I100" s="4">
        <v>43191</v>
      </c>
      <c r="J100" s="4">
        <v>42228</v>
      </c>
      <c r="K100" s="4">
        <v>118</v>
      </c>
      <c r="L100" s="4" t="s">
        <v>28</v>
      </c>
      <c r="N100">
        <v>1.0460831675665436</v>
      </c>
      <c r="P100" t="str">
        <f>IF(AND(C100 &gt;= 'Campaign Metadata'!B$2, C100 &lt;= 'Campaign Metadata'!C$2), 'Campaign Metadata'!A$2,
 IF(AND(C100 &gt;= 'Campaign Metadata'!B$3, C100 &lt;= 'Campaign Metadata'!C$3), 'Campaign Metadata'!A$3,
 IF(AND(C100 &gt;= 'Campaign Metadata'!B$4, C100 &lt;= 'Campaign Metadata'!C$4), 'Campaign Metadata'!A$4,
 IF(AND(C100 &gt;= 'Campaign Metadata'!B$5, C100 &lt;= 'Campaign Metadata'!C$5), 'Campaign Metadata'!A$5, "No Campaign"))))</f>
        <v>CybertruckLaunch</v>
      </c>
    </row>
    <row r="101" spans="1:16" ht="15.75" customHeight="1" x14ac:dyDescent="0.3">
      <c r="A101" s="4" t="s">
        <v>176</v>
      </c>
      <c r="B101" s="4" t="s">
        <v>41</v>
      </c>
      <c r="C101" s="4" t="s">
        <v>177</v>
      </c>
      <c r="D101" s="4" t="s">
        <v>50</v>
      </c>
      <c r="E101" s="4" t="s">
        <v>57</v>
      </c>
      <c r="F101" s="4">
        <v>2878</v>
      </c>
      <c r="G101" s="4">
        <v>248</v>
      </c>
      <c r="H101" s="4">
        <v>416</v>
      </c>
      <c r="I101" s="4">
        <v>43170</v>
      </c>
      <c r="J101" s="4">
        <v>42667</v>
      </c>
      <c r="K101" s="4">
        <v>75</v>
      </c>
      <c r="L101" s="4" t="s">
        <v>60</v>
      </c>
      <c r="M101" s="4"/>
      <c r="N101">
        <v>1.0273513488175874</v>
      </c>
      <c r="P101" t="str">
        <f>IF(AND(C101 &gt;= 'Campaign Metadata'!B$2, C101 &lt;= 'Campaign Metadata'!C$2), 'Campaign Metadata'!A$2,
 IF(AND(C101 &gt;= 'Campaign Metadata'!B$3, C101 &lt;= 'Campaign Metadata'!C$3), 'Campaign Metadata'!A$3,
 IF(AND(C101 &gt;= 'Campaign Metadata'!B$4, C101 &lt;= 'Campaign Metadata'!C$4), 'Campaign Metadata'!A$4,
 IF(AND(C101 &gt;= 'Campaign Metadata'!B$5, C101 &lt;= 'Campaign Metadata'!C$5), 'Campaign Metadata'!A$5, "No Campaign"))))</f>
        <v>No Campaign</v>
      </c>
    </row>
    <row r="102" spans="1:16" ht="15.75" customHeight="1" x14ac:dyDescent="0.3">
      <c r="A102" s="4" t="s">
        <v>271</v>
      </c>
      <c r="B102" s="4" t="s">
        <v>14</v>
      </c>
      <c r="C102" s="4" t="s">
        <v>272</v>
      </c>
      <c r="D102" s="4" t="s">
        <v>50</v>
      </c>
      <c r="E102" s="4" t="s">
        <v>129</v>
      </c>
      <c r="F102" s="4">
        <v>2493</v>
      </c>
      <c r="G102" s="4">
        <v>97</v>
      </c>
      <c r="H102" s="4">
        <v>44</v>
      </c>
      <c r="I102" s="4">
        <v>42381</v>
      </c>
      <c r="J102" s="4">
        <v>41991</v>
      </c>
      <c r="K102" s="4">
        <v>242</v>
      </c>
      <c r="L102" s="4" t="s">
        <v>28</v>
      </c>
      <c r="M102" s="4" t="s">
        <v>600</v>
      </c>
      <c r="N102">
        <v>1.0126455669071943</v>
      </c>
      <c r="P102" t="str">
        <f>IF(AND(C102 &gt;= 'Campaign Metadata'!B$2, C102 &lt;= 'Campaign Metadata'!C$2), 'Campaign Metadata'!A$2,
 IF(AND(C102 &gt;= 'Campaign Metadata'!B$3, C102 &lt;= 'Campaign Metadata'!C$3), 'Campaign Metadata'!A$3,
 IF(AND(C102 &gt;= 'Campaign Metadata'!B$4, C102 &lt;= 'Campaign Metadata'!C$4), 'Campaign Metadata'!A$4,
 IF(AND(C102 &gt;= 'Campaign Metadata'!B$5, C102 &lt;= 'Campaign Metadata'!C$5), 'Campaign Metadata'!A$5, "No Campaign"))))</f>
        <v>No Campaign</v>
      </c>
    </row>
    <row r="103" spans="1:16" ht="15.75" customHeight="1" x14ac:dyDescent="0.3">
      <c r="A103" s="4" t="s">
        <v>97</v>
      </c>
      <c r="B103" s="4" t="s">
        <v>599</v>
      </c>
      <c r="C103" s="4" t="s">
        <v>98</v>
      </c>
      <c r="D103" s="4" t="s">
        <v>16</v>
      </c>
      <c r="E103" s="4" t="s">
        <v>27</v>
      </c>
      <c r="F103" s="4">
        <v>3009</v>
      </c>
      <c r="G103" s="4">
        <v>413</v>
      </c>
      <c r="H103" s="4">
        <v>358</v>
      </c>
      <c r="I103" s="4">
        <v>42126</v>
      </c>
      <c r="J103" s="4">
        <v>41309</v>
      </c>
      <c r="K103" s="4">
        <v>211</v>
      </c>
      <c r="L103" s="4" t="s">
        <v>60</v>
      </c>
      <c r="M103" s="4"/>
      <c r="N103">
        <v>1.0384419860078917</v>
      </c>
      <c r="P103" t="str">
        <f>IF(AND(C103 &gt;= 'Campaign Metadata'!B$2, C103 &lt;= 'Campaign Metadata'!C$2), 'Campaign Metadata'!A$2,
 IF(AND(C103 &gt;= 'Campaign Metadata'!B$3, C103 &lt;= 'Campaign Metadata'!C$3), 'Campaign Metadata'!A$3,
 IF(AND(C103 &gt;= 'Campaign Metadata'!B$4, C103 &lt;= 'Campaign Metadata'!C$4), 'Campaign Metadata'!A$4,
 IF(AND(C103 &gt;= 'Campaign Metadata'!B$5, C103 &lt;= 'Campaign Metadata'!C$5), 'Campaign Metadata'!A$5, "No Campaign"))))</f>
        <v>No Campaign</v>
      </c>
    </row>
    <row r="104" spans="1:16" ht="15.75" customHeight="1" x14ac:dyDescent="0.3">
      <c r="A104" s="4" t="s">
        <v>468</v>
      </c>
      <c r="B104" s="4" t="s">
        <v>41</v>
      </c>
      <c r="C104" s="4" t="s">
        <v>469</v>
      </c>
      <c r="D104" s="4" t="s">
        <v>16</v>
      </c>
      <c r="E104" s="4" t="s">
        <v>63</v>
      </c>
      <c r="F104" s="4">
        <v>4134</v>
      </c>
      <c r="G104" s="4">
        <v>824</v>
      </c>
      <c r="H104" s="4">
        <v>99</v>
      </c>
      <c r="I104" s="4">
        <v>41340</v>
      </c>
      <c r="J104" s="4">
        <v>41050</v>
      </c>
      <c r="K104" s="4">
        <v>177</v>
      </c>
      <c r="L104" s="4" t="s">
        <v>35</v>
      </c>
      <c r="M104" s="4"/>
      <c r="N104">
        <v>1.0295493300852618</v>
      </c>
      <c r="P104" t="str">
        <f>IF(AND(C104 &gt;= 'Campaign Metadata'!B$2, C104 &lt;= 'Campaign Metadata'!C$2), 'Campaign Metadata'!A$2,
 IF(AND(C104 &gt;= 'Campaign Metadata'!B$3, C104 &lt;= 'Campaign Metadata'!C$3), 'Campaign Metadata'!A$3,
 IF(AND(C104 &gt;= 'Campaign Metadata'!B$4, C104 &lt;= 'Campaign Metadata'!C$4), 'Campaign Metadata'!A$4,
 IF(AND(C104 &gt;= 'Campaign Metadata'!B$5, C104 &lt;= 'Campaign Metadata'!C$5), 'Campaign Metadata'!A$5, "No Campaign"))))</f>
        <v>No Campaign</v>
      </c>
    </row>
    <row r="105" spans="1:16" ht="15.75" customHeight="1" x14ac:dyDescent="0.3">
      <c r="A105" s="4" t="s">
        <v>385</v>
      </c>
      <c r="B105" s="4" t="s">
        <v>599</v>
      </c>
      <c r="C105" s="4" t="s">
        <v>220</v>
      </c>
      <c r="D105" s="4" t="s">
        <v>16</v>
      </c>
      <c r="E105" s="4" t="s">
        <v>27</v>
      </c>
      <c r="F105" s="4">
        <v>2728</v>
      </c>
      <c r="G105" s="4">
        <v>533</v>
      </c>
      <c r="H105" s="4">
        <v>215</v>
      </c>
      <c r="I105" s="4">
        <v>40920</v>
      </c>
      <c r="J105" s="4">
        <v>40816</v>
      </c>
      <c r="K105" s="4">
        <v>137</v>
      </c>
      <c r="L105" s="4" t="s">
        <v>60</v>
      </c>
      <c r="M105" s="4"/>
      <c r="N105">
        <v>1.0208741669933359</v>
      </c>
      <c r="P105" t="str">
        <f>IF(AND(C105 &gt;= 'Campaign Metadata'!B$2, C105 &lt;= 'Campaign Metadata'!C$2), 'Campaign Metadata'!A$2,
 IF(AND(C105 &gt;= 'Campaign Metadata'!B$3, C105 &lt;= 'Campaign Metadata'!C$3), 'Campaign Metadata'!A$3,
 IF(AND(C105 &gt;= 'Campaign Metadata'!B$4, C105 &lt;= 'Campaign Metadata'!C$4), 'Campaign Metadata'!A$4,
 IF(AND(C105 &gt;= 'Campaign Metadata'!B$5, C105 &lt;= 'Campaign Metadata'!C$5), 'Campaign Metadata'!A$5, "No Campaign"))))</f>
        <v>No Campaign</v>
      </c>
    </row>
    <row r="106" spans="1:16" ht="15.75" customHeight="1" x14ac:dyDescent="0.3">
      <c r="A106" s="4" t="s">
        <v>263</v>
      </c>
      <c r="B106" s="4" t="s">
        <v>599</v>
      </c>
      <c r="C106" s="4" t="s">
        <v>264</v>
      </c>
      <c r="D106" s="4" t="s">
        <v>50</v>
      </c>
      <c r="E106" s="4" t="s">
        <v>51</v>
      </c>
      <c r="F106" s="4">
        <v>2719</v>
      </c>
      <c r="G106" s="4">
        <v>17</v>
      </c>
      <c r="H106" s="4">
        <v>285</v>
      </c>
      <c r="I106" s="4">
        <v>40785</v>
      </c>
      <c r="J106" s="4">
        <v>40281</v>
      </c>
      <c r="K106" s="4">
        <v>40</v>
      </c>
      <c r="L106" s="4" t="s">
        <v>28</v>
      </c>
      <c r="M106" s="4"/>
      <c r="N106">
        <v>1.0200094337280603</v>
      </c>
      <c r="P106" t="str">
        <f>IF(AND(C106 &gt;= 'Campaign Metadata'!B$2, C106 &lt;= 'Campaign Metadata'!C$2), 'Campaign Metadata'!A$2,
 IF(AND(C106 &gt;= 'Campaign Metadata'!B$3, C106 &lt;= 'Campaign Metadata'!C$3), 'Campaign Metadata'!A$3,
 IF(AND(C106 &gt;= 'Campaign Metadata'!B$4, C106 &lt;= 'Campaign Metadata'!C$4), 'Campaign Metadata'!A$4,
 IF(AND(C106 &gt;= 'Campaign Metadata'!B$5, C106 &lt;= 'Campaign Metadata'!C$5), 'Campaign Metadata'!A$5, "No Campaign"))))</f>
        <v>No Campaign</v>
      </c>
    </row>
    <row r="107" spans="1:16" ht="15.75" customHeight="1" x14ac:dyDescent="0.3">
      <c r="A107" s="4" t="s">
        <v>485</v>
      </c>
      <c r="B107" s="4" t="s">
        <v>599</v>
      </c>
      <c r="C107" s="4" t="s">
        <v>246</v>
      </c>
      <c r="D107" s="4" t="s">
        <v>43</v>
      </c>
      <c r="E107" s="4" t="s">
        <v>66</v>
      </c>
      <c r="F107" s="4">
        <v>2143</v>
      </c>
      <c r="G107" s="4">
        <v>12</v>
      </c>
      <c r="H107" s="4">
        <v>204</v>
      </c>
      <c r="I107" s="4">
        <v>40717</v>
      </c>
      <c r="J107" s="4">
        <v>40125</v>
      </c>
      <c r="K107" s="4">
        <v>248</v>
      </c>
      <c r="L107" s="4" t="s">
        <v>35</v>
      </c>
      <c r="M107" s="4"/>
      <c r="N107">
        <v>1.0201370716510902</v>
      </c>
      <c r="P107" t="str">
        <f>IF(AND(C107 &gt;= 'Campaign Metadata'!B$2, C107 &lt;= 'Campaign Metadata'!C$2), 'Campaign Metadata'!A$2,
 IF(AND(C107 &gt;= 'Campaign Metadata'!B$3, C107 &lt;= 'Campaign Metadata'!C$3), 'Campaign Metadata'!A$3,
 IF(AND(C107 &gt;= 'Campaign Metadata'!B$4, C107 &lt;= 'Campaign Metadata'!C$4), 'Campaign Metadata'!A$4,
 IF(AND(C107 &gt;= 'Campaign Metadata'!B$5, C107 &lt;= 'Campaign Metadata'!C$5), 'Campaign Metadata'!A$5, "No Campaign"))))</f>
        <v>No Campaign</v>
      </c>
    </row>
    <row r="108" spans="1:16" ht="15.75" customHeight="1" x14ac:dyDescent="0.3">
      <c r="A108" s="4" t="s">
        <v>247</v>
      </c>
      <c r="B108" s="4" t="s">
        <v>41</v>
      </c>
      <c r="C108" s="4" t="s">
        <v>248</v>
      </c>
      <c r="D108" s="4" t="s">
        <v>50</v>
      </c>
      <c r="E108" s="4" t="s">
        <v>57</v>
      </c>
      <c r="F108" s="4">
        <v>3689</v>
      </c>
      <c r="G108" s="4">
        <v>48</v>
      </c>
      <c r="H108" s="4">
        <v>306</v>
      </c>
      <c r="I108" s="4">
        <v>40579</v>
      </c>
      <c r="J108" s="4">
        <v>39588</v>
      </c>
      <c r="K108" s="4">
        <v>212</v>
      </c>
      <c r="L108" s="4" t="s">
        <v>35</v>
      </c>
      <c r="M108" s="4"/>
      <c r="N108">
        <v>1.0339749419015862</v>
      </c>
      <c r="P108" t="str">
        <f>IF(AND(C108 &gt;= 'Campaign Metadata'!B$2, C108 &lt;= 'Campaign Metadata'!C$2), 'Campaign Metadata'!A$2,
 IF(AND(C108 &gt;= 'Campaign Metadata'!B$3, C108 &lt;= 'Campaign Metadata'!C$3), 'Campaign Metadata'!A$3,
 IF(AND(C108 &gt;= 'Campaign Metadata'!B$4, C108 &lt;= 'Campaign Metadata'!C$4), 'Campaign Metadata'!A$4,
 IF(AND(C108 &gt;= 'Campaign Metadata'!B$5, C108 &lt;= 'Campaign Metadata'!C$5), 'Campaign Metadata'!A$5, "No Campaign"))))</f>
        <v>No Campaign</v>
      </c>
    </row>
    <row r="109" spans="1:16" ht="15.75" customHeight="1" x14ac:dyDescent="0.3">
      <c r="A109" s="4" t="s">
        <v>511</v>
      </c>
      <c r="B109" s="4" t="s">
        <v>599</v>
      </c>
      <c r="C109" s="4" t="s">
        <v>512</v>
      </c>
      <c r="D109" s="4" t="s">
        <v>33</v>
      </c>
      <c r="E109" s="4" t="s">
        <v>151</v>
      </c>
      <c r="F109" s="4">
        <v>3641</v>
      </c>
      <c r="G109" s="4">
        <v>226</v>
      </c>
      <c r="H109" s="4">
        <v>46</v>
      </c>
      <c r="I109" s="4">
        <v>40051</v>
      </c>
      <c r="J109" s="4">
        <v>39319</v>
      </c>
      <c r="K109" s="4">
        <v>296</v>
      </c>
      <c r="L109" s="4" t="s">
        <v>35</v>
      </c>
      <c r="M109" s="4"/>
      <c r="N109">
        <v>1.0255347287570895</v>
      </c>
      <c r="P109" t="str">
        <f>IF(AND(C109 &gt;= 'Campaign Metadata'!B$2, C109 &lt;= 'Campaign Metadata'!C$2), 'Campaign Metadata'!A$2,
 IF(AND(C109 &gt;= 'Campaign Metadata'!B$3, C109 &lt;= 'Campaign Metadata'!C$3), 'Campaign Metadata'!A$3,
 IF(AND(C109 &gt;= 'Campaign Metadata'!B$4, C109 &lt;= 'Campaign Metadata'!C$4), 'Campaign Metadata'!A$4,
 IF(AND(C109 &gt;= 'Campaign Metadata'!B$5, C109 &lt;= 'Campaign Metadata'!C$5), 'Campaign Metadata'!A$5, "No Campaign"))))</f>
        <v>ModelYCampaign</v>
      </c>
    </row>
    <row r="110" spans="1:16" ht="15.75" customHeight="1" x14ac:dyDescent="0.3">
      <c r="A110" s="4" t="s">
        <v>269</v>
      </c>
      <c r="B110" s="4" t="s">
        <v>14</v>
      </c>
      <c r="C110" s="4" t="s">
        <v>270</v>
      </c>
      <c r="D110" s="4" t="s">
        <v>33</v>
      </c>
      <c r="E110" s="4" t="s">
        <v>146</v>
      </c>
      <c r="F110" s="4">
        <v>4000</v>
      </c>
      <c r="G110" s="4">
        <v>689</v>
      </c>
      <c r="H110" s="4">
        <v>488</v>
      </c>
      <c r="I110" s="4">
        <v>40000</v>
      </c>
      <c r="J110" s="4">
        <v>39569</v>
      </c>
      <c r="K110" s="4">
        <v>44</v>
      </c>
      <c r="L110" s="4" t="s">
        <v>60</v>
      </c>
      <c r="M110" s="4"/>
      <c r="N110">
        <v>1.0406378730824635</v>
      </c>
      <c r="P110" t="str">
        <f>IF(AND(C110 &gt;= 'Campaign Metadata'!B$2, C110 &lt;= 'Campaign Metadata'!C$2), 'Campaign Metadata'!A$2,
 IF(AND(C110 &gt;= 'Campaign Metadata'!B$3, C110 &lt;= 'Campaign Metadata'!C$3), 'Campaign Metadata'!A$3,
 IF(AND(C110 &gt;= 'Campaign Metadata'!B$4, C110 &lt;= 'Campaign Metadata'!C$4), 'Campaign Metadata'!A$4,
 IF(AND(C110 &gt;= 'Campaign Metadata'!B$5, C110 &lt;= 'Campaign Metadata'!C$5), 'Campaign Metadata'!A$5, "No Campaign"))))</f>
        <v>No Campaign</v>
      </c>
    </row>
    <row r="111" spans="1:16" ht="15.75" customHeight="1" x14ac:dyDescent="0.3">
      <c r="A111" s="4" t="s">
        <v>205</v>
      </c>
      <c r="B111" s="4" t="s">
        <v>31</v>
      </c>
      <c r="C111" s="4" t="s">
        <v>153</v>
      </c>
      <c r="D111" s="4" t="s">
        <v>33</v>
      </c>
      <c r="E111" s="4" t="s">
        <v>34</v>
      </c>
      <c r="F111" s="4">
        <v>2103</v>
      </c>
      <c r="G111" s="4">
        <v>892</v>
      </c>
      <c r="H111" s="4">
        <v>103</v>
      </c>
      <c r="I111" s="4">
        <v>39957</v>
      </c>
      <c r="J111" s="4">
        <v>39466</v>
      </c>
      <c r="K111" s="4">
        <v>28</v>
      </c>
      <c r="L111" s="4" t="s">
        <v>60</v>
      </c>
      <c r="N111">
        <v>1.0376526630517406</v>
      </c>
      <c r="P111" t="str">
        <f>IF(AND(C111 &gt;= 'Campaign Metadata'!B$2, C111 &lt;= 'Campaign Metadata'!C$2), 'Campaign Metadata'!A$2,
 IF(AND(C111 &gt;= 'Campaign Metadata'!B$3, C111 &lt;= 'Campaign Metadata'!C$3), 'Campaign Metadata'!A$3,
 IF(AND(C111 &gt;= 'Campaign Metadata'!B$4, C111 &lt;= 'Campaign Metadata'!C$4), 'Campaign Metadata'!A$4,
 IF(AND(C111 &gt;= 'Campaign Metadata'!B$5, C111 &lt;= 'Campaign Metadata'!C$5), 'Campaign Metadata'!A$5, "No Campaign"))))</f>
        <v>No Campaign</v>
      </c>
    </row>
    <row r="112" spans="1:16" ht="15.75" customHeight="1" x14ac:dyDescent="0.3">
      <c r="A112" s="4" t="s">
        <v>203</v>
      </c>
      <c r="B112" s="4" t="s">
        <v>31</v>
      </c>
      <c r="C112" s="4" t="s">
        <v>204</v>
      </c>
      <c r="D112" s="4" t="s">
        <v>43</v>
      </c>
      <c r="E112" s="4" t="s">
        <v>86</v>
      </c>
      <c r="F112" s="4">
        <v>3068</v>
      </c>
      <c r="G112" s="4">
        <v>137</v>
      </c>
      <c r="H112" s="4">
        <v>329</v>
      </c>
      <c r="I112" s="4">
        <v>39884</v>
      </c>
      <c r="J112" s="4">
        <v>39404</v>
      </c>
      <c r="K112" s="4">
        <v>266</v>
      </c>
      <c r="L112" s="4" t="s">
        <v>35</v>
      </c>
      <c r="M112" s="4"/>
      <c r="N112">
        <v>1.0240077149527966</v>
      </c>
      <c r="P112" t="str">
        <f>IF(AND(C112 &gt;= 'Campaign Metadata'!B$2, C112 &lt;= 'Campaign Metadata'!C$2), 'Campaign Metadata'!A$2,
 IF(AND(C112 &gt;= 'Campaign Metadata'!B$3, C112 &lt;= 'Campaign Metadata'!C$3), 'Campaign Metadata'!A$3,
 IF(AND(C112 &gt;= 'Campaign Metadata'!B$4, C112 &lt;= 'Campaign Metadata'!C$4), 'Campaign Metadata'!A$4,
 IF(AND(C112 &gt;= 'Campaign Metadata'!B$5, C112 &lt;= 'Campaign Metadata'!C$5), 'Campaign Metadata'!A$5, "No Campaign"))))</f>
        <v>ModelYCampaign</v>
      </c>
    </row>
    <row r="113" spans="1:16" ht="15.75" customHeight="1" x14ac:dyDescent="0.3">
      <c r="A113" s="4" t="s">
        <v>510</v>
      </c>
      <c r="B113" s="4" t="s">
        <v>31</v>
      </c>
      <c r="C113" s="4" t="s">
        <v>478</v>
      </c>
      <c r="D113" s="4" t="s">
        <v>21</v>
      </c>
      <c r="E113" s="4" t="s">
        <v>110</v>
      </c>
      <c r="F113" s="4">
        <v>4941</v>
      </c>
      <c r="G113" s="4">
        <v>414</v>
      </c>
      <c r="H113" s="4">
        <v>266</v>
      </c>
      <c r="I113" s="4">
        <v>39528</v>
      </c>
      <c r="J113" s="4">
        <v>39154</v>
      </c>
      <c r="K113" s="4">
        <v>217</v>
      </c>
      <c r="L113" s="4" t="s">
        <v>28</v>
      </c>
      <c r="M113" s="4"/>
      <c r="N113">
        <v>1.0269193441283138</v>
      </c>
      <c r="P113" t="str">
        <f>IF(AND(C113 &gt;= 'Campaign Metadata'!B$2, C113 &lt;= 'Campaign Metadata'!C$2), 'Campaign Metadata'!A$2,
 IF(AND(C113 &gt;= 'Campaign Metadata'!B$3, C113 &lt;= 'Campaign Metadata'!C$3), 'Campaign Metadata'!A$3,
 IF(AND(C113 &gt;= 'Campaign Metadata'!B$4, C113 &lt;= 'Campaign Metadata'!C$4), 'Campaign Metadata'!A$4,
 IF(AND(C113 &gt;= 'Campaign Metadata'!B$5, C113 &lt;= 'Campaign Metadata'!C$5), 'Campaign Metadata'!A$5, "No Campaign"))))</f>
        <v>SustainabilityDrive</v>
      </c>
    </row>
    <row r="114" spans="1:16" ht="15.75" customHeight="1" x14ac:dyDescent="0.3">
      <c r="A114" s="4" t="s">
        <v>347</v>
      </c>
      <c r="B114" s="4" t="s">
        <v>599</v>
      </c>
      <c r="C114" s="4" t="s">
        <v>90</v>
      </c>
      <c r="D114" s="4" t="s">
        <v>21</v>
      </c>
      <c r="E114" s="4" t="s">
        <v>101</v>
      </c>
      <c r="F114" s="4">
        <v>4934</v>
      </c>
      <c r="G114" s="4">
        <v>971</v>
      </c>
      <c r="H114" s="4">
        <v>156</v>
      </c>
      <c r="I114" s="4">
        <v>39472</v>
      </c>
      <c r="J114" s="4">
        <v>39025</v>
      </c>
      <c r="K114" s="4">
        <v>169</v>
      </c>
      <c r="L114" s="4" t="s">
        <v>28</v>
      </c>
      <c r="M114" s="4" t="s">
        <v>600</v>
      </c>
      <c r="N114">
        <v>1.0403331197950032</v>
      </c>
      <c r="P114" t="str">
        <f>IF(AND(C114 &gt;= 'Campaign Metadata'!B$2, C114 &lt;= 'Campaign Metadata'!C$2), 'Campaign Metadata'!A$2,
 IF(AND(C114 &gt;= 'Campaign Metadata'!B$3, C114 &lt;= 'Campaign Metadata'!C$3), 'Campaign Metadata'!A$3,
 IF(AND(C114 &gt;= 'Campaign Metadata'!B$4, C114 &lt;= 'Campaign Metadata'!C$4), 'Campaign Metadata'!A$4,
 IF(AND(C114 &gt;= 'Campaign Metadata'!B$5, C114 &lt;= 'Campaign Metadata'!C$5), 'Campaign Metadata'!A$5, "No Campaign"))))</f>
        <v>No Campaign</v>
      </c>
    </row>
    <row r="115" spans="1:16" ht="15.75" customHeight="1" x14ac:dyDescent="0.3">
      <c r="A115" s="4" t="s">
        <v>312</v>
      </c>
      <c r="B115" s="4" t="s">
        <v>599</v>
      </c>
      <c r="C115" s="4" t="s">
        <v>258</v>
      </c>
      <c r="D115" s="4" t="s">
        <v>33</v>
      </c>
      <c r="E115" s="4" t="s">
        <v>151</v>
      </c>
      <c r="F115" s="4">
        <v>2070</v>
      </c>
      <c r="G115" s="4">
        <v>275</v>
      </c>
      <c r="H115" s="4">
        <v>386</v>
      </c>
      <c r="I115" s="4">
        <v>39330</v>
      </c>
      <c r="J115" s="4">
        <v>38627</v>
      </c>
      <c r="K115" s="4">
        <v>114</v>
      </c>
      <c r="L115" s="4" t="s">
        <v>60</v>
      </c>
      <c r="M115" s="4"/>
      <c r="N115">
        <v>1.0353120874000052</v>
      </c>
      <c r="P115" t="str">
        <f>IF(AND(C115 &gt;= 'Campaign Metadata'!B$2, C115 &lt;= 'Campaign Metadata'!C$2), 'Campaign Metadata'!A$2,
 IF(AND(C115 &gt;= 'Campaign Metadata'!B$3, C115 &lt;= 'Campaign Metadata'!C$3), 'Campaign Metadata'!A$3,
 IF(AND(C115 &gt;= 'Campaign Metadata'!B$4, C115 &lt;= 'Campaign Metadata'!C$4), 'Campaign Metadata'!A$4,
 IF(AND(C115 &gt;= 'Campaign Metadata'!B$5, C115 &lt;= 'Campaign Metadata'!C$5), 'Campaign Metadata'!A$5, "No Campaign"))))</f>
        <v>SustainabilityDrive</v>
      </c>
    </row>
    <row r="116" spans="1:16" ht="15.75" customHeight="1" x14ac:dyDescent="0.3">
      <c r="A116" s="4" t="s">
        <v>387</v>
      </c>
      <c r="B116" s="4" t="s">
        <v>599</v>
      </c>
      <c r="C116" s="4" t="s">
        <v>388</v>
      </c>
      <c r="D116" s="4" t="s">
        <v>21</v>
      </c>
      <c r="E116" s="4" t="s">
        <v>101</v>
      </c>
      <c r="F116" s="4">
        <v>1963</v>
      </c>
      <c r="G116" s="4">
        <v>213</v>
      </c>
      <c r="H116" s="4">
        <v>19</v>
      </c>
      <c r="I116" s="4">
        <v>39260</v>
      </c>
      <c r="J116" s="4">
        <v>38771</v>
      </c>
      <c r="K116" s="4">
        <v>145</v>
      </c>
      <c r="L116" s="4" t="s">
        <v>60</v>
      </c>
      <c r="N116">
        <v>1.0185963735781898</v>
      </c>
      <c r="P116" t="str">
        <f>IF(AND(C116 &gt;= 'Campaign Metadata'!B$2, C116 &lt;= 'Campaign Metadata'!C$2), 'Campaign Metadata'!A$2,
 IF(AND(C116 &gt;= 'Campaign Metadata'!B$3, C116 &lt;= 'Campaign Metadata'!C$3), 'Campaign Metadata'!A$3,
 IF(AND(C116 &gt;= 'Campaign Metadata'!B$4, C116 &lt;= 'Campaign Metadata'!C$4), 'Campaign Metadata'!A$4,
 IF(AND(C116 &gt;= 'Campaign Metadata'!B$5, C116 &lt;= 'Campaign Metadata'!C$5), 'Campaign Metadata'!A$5, "No Campaign"))))</f>
        <v>ModelYCampaign</v>
      </c>
    </row>
    <row r="117" spans="1:16" ht="15.75" customHeight="1" x14ac:dyDescent="0.3">
      <c r="A117" s="4" t="s">
        <v>261</v>
      </c>
      <c r="B117" s="4" t="s">
        <v>31</v>
      </c>
      <c r="C117" s="4" t="s">
        <v>262</v>
      </c>
      <c r="D117" s="4" t="s">
        <v>16</v>
      </c>
      <c r="E117" s="4" t="s">
        <v>80</v>
      </c>
      <c r="F117" s="4">
        <v>3523</v>
      </c>
      <c r="G117" s="4">
        <v>753</v>
      </c>
      <c r="H117" s="4">
        <v>482</v>
      </c>
      <c r="I117" s="4">
        <v>38753</v>
      </c>
      <c r="J117" s="4">
        <v>38579</v>
      </c>
      <c r="K117" s="4">
        <v>270</v>
      </c>
      <c r="L117" s="4" t="s">
        <v>35</v>
      </c>
      <c r="M117" s="4"/>
      <c r="N117">
        <v>1.0365224604059202</v>
      </c>
      <c r="P117" t="str">
        <f>IF(AND(C117 &gt;= 'Campaign Metadata'!B$2, C117 &lt;= 'Campaign Metadata'!C$2), 'Campaign Metadata'!A$2,
 IF(AND(C117 &gt;= 'Campaign Metadata'!B$3, C117 &lt;= 'Campaign Metadata'!C$3), 'Campaign Metadata'!A$3,
 IF(AND(C117 &gt;= 'Campaign Metadata'!B$4, C117 &lt;= 'Campaign Metadata'!C$4), 'Campaign Metadata'!A$4,
 IF(AND(C117 &gt;= 'Campaign Metadata'!B$5, C117 &lt;= 'Campaign Metadata'!C$5), 'Campaign Metadata'!A$5, "No Campaign"))))</f>
        <v>No Campaign</v>
      </c>
    </row>
    <row r="118" spans="1:16" ht="15.75" customHeight="1" x14ac:dyDescent="0.3">
      <c r="A118" s="4" t="s">
        <v>422</v>
      </c>
      <c r="B118" s="4" t="s">
        <v>599</v>
      </c>
      <c r="C118" s="4" t="s">
        <v>192</v>
      </c>
      <c r="D118" s="4" t="s">
        <v>72</v>
      </c>
      <c r="E118" s="4" t="s">
        <v>213</v>
      </c>
      <c r="F118" s="4">
        <v>3874</v>
      </c>
      <c r="G118" s="4">
        <v>884</v>
      </c>
      <c r="H118" s="4">
        <v>19</v>
      </c>
      <c r="I118" s="4">
        <v>38740</v>
      </c>
      <c r="J118" s="4">
        <v>38552</v>
      </c>
      <c r="K118" s="4">
        <v>219</v>
      </c>
      <c r="L118" s="4" t="s">
        <v>28</v>
      </c>
      <c r="M118" s="4"/>
      <c r="N118">
        <v>1.0282994397177838</v>
      </c>
      <c r="P118" t="str">
        <f>IF(AND(C118 &gt;= 'Campaign Metadata'!B$2, C118 &lt;= 'Campaign Metadata'!C$2), 'Campaign Metadata'!A$2,
 IF(AND(C118 &gt;= 'Campaign Metadata'!B$3, C118 &lt;= 'Campaign Metadata'!C$3), 'Campaign Metadata'!A$3,
 IF(AND(C118 &gt;= 'Campaign Metadata'!B$4, C118 &lt;= 'Campaign Metadata'!C$4), 'Campaign Metadata'!A$4,
 IF(AND(C118 &gt;= 'Campaign Metadata'!B$5, C118 &lt;= 'Campaign Metadata'!C$5), 'Campaign Metadata'!A$5, "No Campaign"))))</f>
        <v>SustainabilityDrive</v>
      </c>
    </row>
    <row r="119" spans="1:16" ht="15.75" customHeight="1" x14ac:dyDescent="0.3">
      <c r="A119" s="4" t="s">
        <v>292</v>
      </c>
      <c r="B119" s="4" t="s">
        <v>599</v>
      </c>
      <c r="C119" s="4" t="s">
        <v>293</v>
      </c>
      <c r="D119" s="4" t="s">
        <v>16</v>
      </c>
      <c r="E119" s="4" t="s">
        <v>27</v>
      </c>
      <c r="F119" s="4">
        <v>2936</v>
      </c>
      <c r="G119" s="4">
        <v>439</v>
      </c>
      <c r="H119" s="4">
        <v>44</v>
      </c>
      <c r="I119" s="4">
        <v>38168</v>
      </c>
      <c r="J119" s="4">
        <v>37571</v>
      </c>
      <c r="K119" s="4">
        <v>22</v>
      </c>
      <c r="L119" s="4" t="s">
        <v>35</v>
      </c>
      <c r="M119" s="4"/>
      <c r="N119">
        <v>1.0287455750445822</v>
      </c>
      <c r="P119" t="str">
        <f>IF(AND(C119 &gt;= 'Campaign Metadata'!B$2, C119 &lt;= 'Campaign Metadata'!C$2), 'Campaign Metadata'!A$2,
 IF(AND(C119 &gt;= 'Campaign Metadata'!B$3, C119 &lt;= 'Campaign Metadata'!C$3), 'Campaign Metadata'!A$3,
 IF(AND(C119 &gt;= 'Campaign Metadata'!B$4, C119 &lt;= 'Campaign Metadata'!C$4), 'Campaign Metadata'!A$4,
 IF(AND(C119 &gt;= 'Campaign Metadata'!B$5, C119 &lt;= 'Campaign Metadata'!C$5), 'Campaign Metadata'!A$5, "No Campaign"))))</f>
        <v>No Campaign</v>
      </c>
    </row>
    <row r="120" spans="1:16" ht="15.75" customHeight="1" x14ac:dyDescent="0.3">
      <c r="A120" s="4" t="s">
        <v>451</v>
      </c>
      <c r="B120" s="4" t="s">
        <v>41</v>
      </c>
      <c r="C120" s="4" t="s">
        <v>131</v>
      </c>
      <c r="D120" s="4" t="s">
        <v>50</v>
      </c>
      <c r="E120" s="4" t="s">
        <v>57</v>
      </c>
      <c r="F120" s="4">
        <v>2382</v>
      </c>
      <c r="G120" s="4">
        <v>265</v>
      </c>
      <c r="H120" s="4">
        <v>134</v>
      </c>
      <c r="I120" s="4">
        <v>38112</v>
      </c>
      <c r="J120" s="4">
        <v>37437</v>
      </c>
      <c r="K120" s="4">
        <v>249</v>
      </c>
      <c r="L120" s="4" t="s">
        <v>60</v>
      </c>
      <c r="M120" s="4"/>
      <c r="N120">
        <v>1.0286881961695649</v>
      </c>
      <c r="P120" t="str">
        <f>IF(AND(C120 &gt;= 'Campaign Metadata'!B$2, C120 &lt;= 'Campaign Metadata'!C$2), 'Campaign Metadata'!A$2,
 IF(AND(C120 &gt;= 'Campaign Metadata'!B$3, C120 &lt;= 'Campaign Metadata'!C$3), 'Campaign Metadata'!A$3,
 IF(AND(C120 &gt;= 'Campaign Metadata'!B$4, C120 &lt;= 'Campaign Metadata'!C$4), 'Campaign Metadata'!A$4,
 IF(AND(C120 &gt;= 'Campaign Metadata'!B$5, C120 &lt;= 'Campaign Metadata'!C$5), 'Campaign Metadata'!A$5, "No Campaign"))))</f>
        <v>SustainabilityDrive</v>
      </c>
    </row>
    <row r="121" spans="1:16" ht="15.75" customHeight="1" x14ac:dyDescent="0.3">
      <c r="A121" s="4" t="s">
        <v>229</v>
      </c>
      <c r="B121" s="4" t="s">
        <v>14</v>
      </c>
      <c r="C121" s="4" t="s">
        <v>164</v>
      </c>
      <c r="D121" s="4" t="s">
        <v>33</v>
      </c>
      <c r="E121" s="4" t="s">
        <v>146</v>
      </c>
      <c r="F121" s="4">
        <v>3801</v>
      </c>
      <c r="G121" s="4">
        <v>967</v>
      </c>
      <c r="H121" s="4">
        <v>401</v>
      </c>
      <c r="I121" s="4">
        <v>38010</v>
      </c>
      <c r="J121" s="4">
        <v>37625</v>
      </c>
      <c r="K121" s="4">
        <v>236</v>
      </c>
      <c r="L121" s="4" t="s">
        <v>60</v>
      </c>
      <c r="M121" s="4"/>
      <c r="N121">
        <v>1.0465913621262459</v>
      </c>
      <c r="P121" t="str">
        <f>IF(AND(C121 &gt;= 'Campaign Metadata'!B$2, C121 &lt;= 'Campaign Metadata'!C$2), 'Campaign Metadata'!A$2,
 IF(AND(C121 &gt;= 'Campaign Metadata'!B$3, C121 &lt;= 'Campaign Metadata'!C$3), 'Campaign Metadata'!A$3,
 IF(AND(C121 &gt;= 'Campaign Metadata'!B$4, C121 &lt;= 'Campaign Metadata'!C$4), 'Campaign Metadata'!A$4,
 IF(AND(C121 &gt;= 'Campaign Metadata'!B$5, C121 &lt;= 'Campaign Metadata'!C$5), 'Campaign Metadata'!A$5, "No Campaign"))))</f>
        <v>ModelYCampaign</v>
      </c>
    </row>
    <row r="122" spans="1:16" ht="15.75" customHeight="1" x14ac:dyDescent="0.3">
      <c r="A122" s="4" t="s">
        <v>127</v>
      </c>
      <c r="B122" s="4" t="s">
        <v>14</v>
      </c>
      <c r="C122" s="4" t="s">
        <v>128</v>
      </c>
      <c r="D122" s="4" t="s">
        <v>50</v>
      </c>
      <c r="E122" s="4" t="s">
        <v>129</v>
      </c>
      <c r="F122" s="4">
        <v>4750</v>
      </c>
      <c r="G122" s="4">
        <v>151</v>
      </c>
      <c r="H122" s="4">
        <v>415</v>
      </c>
      <c r="I122" s="4">
        <v>38000</v>
      </c>
      <c r="J122" s="4">
        <v>37792</v>
      </c>
      <c r="K122" s="4">
        <v>299</v>
      </c>
      <c r="L122" s="4" t="s">
        <v>35</v>
      </c>
      <c r="M122" s="4"/>
      <c r="N122">
        <v>1.0204805249788316</v>
      </c>
      <c r="P122" t="str">
        <f>IF(AND(C122 &gt;= 'Campaign Metadata'!B$2, C122 &lt;= 'Campaign Metadata'!C$2), 'Campaign Metadata'!A$2,
 IF(AND(C122 &gt;= 'Campaign Metadata'!B$3, C122 &lt;= 'Campaign Metadata'!C$3), 'Campaign Metadata'!A$3,
 IF(AND(C122 &gt;= 'Campaign Metadata'!B$4, C122 &lt;= 'Campaign Metadata'!C$4), 'Campaign Metadata'!A$4,
 IF(AND(C122 &gt;= 'Campaign Metadata'!B$5, C122 &lt;= 'Campaign Metadata'!C$5), 'Campaign Metadata'!A$5, "No Campaign"))))</f>
        <v>SustainabilityDrive</v>
      </c>
    </row>
    <row r="123" spans="1:16" ht="15.75" customHeight="1" x14ac:dyDescent="0.3">
      <c r="A123" s="4" t="s">
        <v>484</v>
      </c>
      <c r="B123" s="4" t="s">
        <v>41</v>
      </c>
      <c r="C123" s="4" t="s">
        <v>20</v>
      </c>
      <c r="D123" s="4" t="s">
        <v>33</v>
      </c>
      <c r="E123" s="4" t="s">
        <v>69</v>
      </c>
      <c r="F123" s="4">
        <v>3767</v>
      </c>
      <c r="G123" s="4">
        <v>514</v>
      </c>
      <c r="H123" s="4">
        <v>238</v>
      </c>
      <c r="I123" s="4">
        <v>37670</v>
      </c>
      <c r="J123" s="4">
        <v>36807</v>
      </c>
      <c r="K123" s="4">
        <v>226</v>
      </c>
      <c r="L123" s="4" t="s">
        <v>60</v>
      </c>
      <c r="M123" s="4"/>
      <c r="N123">
        <v>1.0438775232971989</v>
      </c>
      <c r="P123" t="str">
        <f>IF(AND(C123 &gt;= 'Campaign Metadata'!B$2, C123 &lt;= 'Campaign Metadata'!C$2), 'Campaign Metadata'!A$2,
 IF(AND(C123 &gt;= 'Campaign Metadata'!B$3, C123 &lt;= 'Campaign Metadata'!C$3), 'Campaign Metadata'!A$3,
 IF(AND(C123 &gt;= 'Campaign Metadata'!B$4, C123 &lt;= 'Campaign Metadata'!C$4), 'Campaign Metadata'!A$4,
 IF(AND(C123 &gt;= 'Campaign Metadata'!B$5, C123 &lt;= 'Campaign Metadata'!C$5), 'Campaign Metadata'!A$5, "No Campaign"))))</f>
        <v>No Campaign</v>
      </c>
    </row>
    <row r="124" spans="1:16" ht="15.75" customHeight="1" x14ac:dyDescent="0.3">
      <c r="A124" s="4" t="s">
        <v>315</v>
      </c>
      <c r="B124" s="4" t="s">
        <v>31</v>
      </c>
      <c r="C124" s="4" t="s">
        <v>32</v>
      </c>
      <c r="D124" s="4" t="s">
        <v>43</v>
      </c>
      <c r="E124" s="4" t="s">
        <v>86</v>
      </c>
      <c r="F124" s="4">
        <v>1878</v>
      </c>
      <c r="G124" s="4">
        <v>62</v>
      </c>
      <c r="H124" s="4">
        <v>179</v>
      </c>
      <c r="I124" s="4">
        <v>37560</v>
      </c>
      <c r="J124" s="4">
        <v>36874</v>
      </c>
      <c r="K124" s="4">
        <v>142</v>
      </c>
      <c r="L124" s="4" t="s">
        <v>28</v>
      </c>
      <c r="M124" s="4"/>
      <c r="N124">
        <v>1.0251396648044693</v>
      </c>
      <c r="P124" t="str">
        <f>IF(AND(C124 &gt;= 'Campaign Metadata'!B$2, C124 &lt;= 'Campaign Metadata'!C$2), 'Campaign Metadata'!A$2,
 IF(AND(C124 &gt;= 'Campaign Metadata'!B$3, C124 &lt;= 'Campaign Metadata'!C$3), 'Campaign Metadata'!A$3,
 IF(AND(C124 &gt;= 'Campaign Metadata'!B$4, C124 &lt;= 'Campaign Metadata'!C$4), 'Campaign Metadata'!A$4,
 IF(AND(C124 &gt;= 'Campaign Metadata'!B$5, C124 &lt;= 'Campaign Metadata'!C$5), 'Campaign Metadata'!A$5, "No Campaign"))))</f>
        <v>No Campaign</v>
      </c>
    </row>
    <row r="125" spans="1:16" ht="15.75" customHeight="1" x14ac:dyDescent="0.3">
      <c r="A125" s="4" t="s">
        <v>152</v>
      </c>
      <c r="B125" s="4" t="s">
        <v>41</v>
      </c>
      <c r="C125" s="4" t="s">
        <v>153</v>
      </c>
      <c r="D125" s="4" t="s">
        <v>43</v>
      </c>
      <c r="E125" s="4" t="s">
        <v>44</v>
      </c>
      <c r="F125" s="4">
        <v>2200</v>
      </c>
      <c r="G125" s="4">
        <v>504</v>
      </c>
      <c r="H125" s="4">
        <v>239</v>
      </c>
      <c r="I125" s="4">
        <v>37400</v>
      </c>
      <c r="J125" s="4">
        <v>36938</v>
      </c>
      <c r="K125" s="4">
        <v>225</v>
      </c>
      <c r="L125" s="4" t="s">
        <v>60</v>
      </c>
      <c r="M125" s="4"/>
      <c r="N125">
        <v>1.0326222318479614</v>
      </c>
      <c r="P125" t="str">
        <f>IF(AND(C125 &gt;= 'Campaign Metadata'!B$2, C125 &lt;= 'Campaign Metadata'!C$2), 'Campaign Metadata'!A$2,
 IF(AND(C125 &gt;= 'Campaign Metadata'!B$3, C125 &lt;= 'Campaign Metadata'!C$3), 'Campaign Metadata'!A$3,
 IF(AND(C125 &gt;= 'Campaign Metadata'!B$4, C125 &lt;= 'Campaign Metadata'!C$4), 'Campaign Metadata'!A$4,
 IF(AND(C125 &gt;= 'Campaign Metadata'!B$5, C125 &lt;= 'Campaign Metadata'!C$5), 'Campaign Metadata'!A$5, "No Campaign"))))</f>
        <v>No Campaign</v>
      </c>
    </row>
    <row r="126" spans="1:16" ht="15.75" customHeight="1" x14ac:dyDescent="0.3">
      <c r="A126" s="4" t="s">
        <v>296</v>
      </c>
      <c r="B126" s="4" t="s">
        <v>41</v>
      </c>
      <c r="C126" s="4" t="s">
        <v>297</v>
      </c>
      <c r="D126" s="4" t="s">
        <v>50</v>
      </c>
      <c r="E126" s="4" t="s">
        <v>57</v>
      </c>
      <c r="F126" s="4">
        <v>2072</v>
      </c>
      <c r="G126" s="4">
        <v>532</v>
      </c>
      <c r="H126" s="4">
        <v>71</v>
      </c>
      <c r="I126" s="4">
        <v>37296</v>
      </c>
      <c r="J126" s="4">
        <v>36467</v>
      </c>
      <c r="K126" s="4">
        <v>25</v>
      </c>
      <c r="L126" s="4" t="s">
        <v>28</v>
      </c>
      <c r="M126" s="4"/>
      <c r="N126">
        <v>1.0392683796308992</v>
      </c>
      <c r="P126" t="str">
        <f>IF(AND(C126 &gt;= 'Campaign Metadata'!B$2, C126 &lt;= 'Campaign Metadata'!C$2), 'Campaign Metadata'!A$2,
 IF(AND(C126 &gt;= 'Campaign Metadata'!B$3, C126 &lt;= 'Campaign Metadata'!C$3), 'Campaign Metadata'!A$3,
 IF(AND(C126 &gt;= 'Campaign Metadata'!B$4, C126 &lt;= 'Campaign Metadata'!C$4), 'Campaign Metadata'!A$4,
 IF(AND(C126 &gt;= 'Campaign Metadata'!B$5, C126 &lt;= 'Campaign Metadata'!C$5), 'Campaign Metadata'!A$5, "No Campaign"))))</f>
        <v>No Campaign</v>
      </c>
    </row>
    <row r="127" spans="1:16" ht="15.75" customHeight="1" x14ac:dyDescent="0.3">
      <c r="A127" s="4" t="s">
        <v>145</v>
      </c>
      <c r="B127" s="4" t="s">
        <v>14</v>
      </c>
      <c r="C127" s="4" t="s">
        <v>56</v>
      </c>
      <c r="D127" s="4" t="s">
        <v>33</v>
      </c>
      <c r="E127" s="4" t="s">
        <v>146</v>
      </c>
      <c r="F127" s="4">
        <v>1950</v>
      </c>
      <c r="G127" s="4">
        <v>295</v>
      </c>
      <c r="H127" s="4">
        <v>478</v>
      </c>
      <c r="I127" s="4">
        <v>37050</v>
      </c>
      <c r="J127" s="4">
        <v>36272</v>
      </c>
      <c r="K127" s="4">
        <v>119</v>
      </c>
      <c r="L127" s="4" t="s">
        <v>28</v>
      </c>
      <c r="N127">
        <v>1.0427602558447286</v>
      </c>
      <c r="P127" t="str">
        <f>IF(AND(C127 &gt;= 'Campaign Metadata'!B$2, C127 &lt;= 'Campaign Metadata'!C$2), 'Campaign Metadata'!A$2,
 IF(AND(C127 &gt;= 'Campaign Metadata'!B$3, C127 &lt;= 'Campaign Metadata'!C$3), 'Campaign Metadata'!A$3,
 IF(AND(C127 &gt;= 'Campaign Metadata'!B$4, C127 &lt;= 'Campaign Metadata'!C$4), 'Campaign Metadata'!A$4,
 IF(AND(C127 &gt;= 'Campaign Metadata'!B$5, C127 &lt;= 'Campaign Metadata'!C$5), 'Campaign Metadata'!A$5, "No Campaign"))))</f>
        <v>SustainabilityDrive</v>
      </c>
    </row>
    <row r="128" spans="1:16" ht="15.75" customHeight="1" x14ac:dyDescent="0.3">
      <c r="A128" s="4" t="s">
        <v>529</v>
      </c>
      <c r="B128" s="4" t="s">
        <v>599</v>
      </c>
      <c r="C128" s="4" t="s">
        <v>421</v>
      </c>
      <c r="D128" s="4" t="s">
        <v>21</v>
      </c>
      <c r="E128" s="4" t="s">
        <v>101</v>
      </c>
      <c r="F128" s="4">
        <v>4021</v>
      </c>
      <c r="G128" s="4">
        <v>794</v>
      </c>
      <c r="H128" s="4">
        <v>77</v>
      </c>
      <c r="I128" s="4">
        <v>36189</v>
      </c>
      <c r="J128" s="4">
        <v>35505</v>
      </c>
      <c r="K128" s="4">
        <v>174</v>
      </c>
      <c r="L128" s="4" t="s">
        <v>35</v>
      </c>
      <c r="N128">
        <v>1.0437966483593859</v>
      </c>
      <c r="P128" t="str">
        <f>IF(AND(C128 &gt;= 'Campaign Metadata'!B$2, C128 &lt;= 'Campaign Metadata'!C$2), 'Campaign Metadata'!A$2,
 IF(AND(C128 &gt;= 'Campaign Metadata'!B$3, C128 &lt;= 'Campaign Metadata'!C$3), 'Campaign Metadata'!A$3,
 IF(AND(C128 &gt;= 'Campaign Metadata'!B$4, C128 &lt;= 'Campaign Metadata'!C$4), 'Campaign Metadata'!A$4,
 IF(AND(C128 &gt;= 'Campaign Metadata'!B$5, C128 &lt;= 'Campaign Metadata'!C$5), 'Campaign Metadata'!A$5, "No Campaign"))))</f>
        <v>No Campaign</v>
      </c>
    </row>
    <row r="129" spans="1:16" ht="15.75" customHeight="1" x14ac:dyDescent="0.3">
      <c r="A129" s="4" t="s">
        <v>78</v>
      </c>
      <c r="B129" s="4" t="s">
        <v>31</v>
      </c>
      <c r="C129" s="4" t="s">
        <v>79</v>
      </c>
      <c r="D129" s="4" t="s">
        <v>16</v>
      </c>
      <c r="E129" s="4" t="s">
        <v>80</v>
      </c>
      <c r="F129" s="4">
        <v>3000</v>
      </c>
      <c r="G129" s="4">
        <v>382</v>
      </c>
      <c r="H129" s="4">
        <v>325</v>
      </c>
      <c r="I129" s="4">
        <v>36000</v>
      </c>
      <c r="J129" s="4">
        <v>35819</v>
      </c>
      <c r="K129" s="4">
        <v>19</v>
      </c>
      <c r="L129" s="4" t="s">
        <v>60</v>
      </c>
      <c r="M129" s="4"/>
      <c r="N129">
        <v>1.0247913118735867</v>
      </c>
      <c r="P129" t="str">
        <f>IF(AND(C129 &gt;= 'Campaign Metadata'!B$2, C129 &lt;= 'Campaign Metadata'!C$2), 'Campaign Metadata'!A$2,
 IF(AND(C129 &gt;= 'Campaign Metadata'!B$3, C129 &lt;= 'Campaign Metadata'!C$3), 'Campaign Metadata'!A$3,
 IF(AND(C129 &gt;= 'Campaign Metadata'!B$4, C129 &lt;= 'Campaign Metadata'!C$4), 'Campaign Metadata'!A$4,
 IF(AND(C129 &gt;= 'Campaign Metadata'!B$5, C129 &lt;= 'Campaign Metadata'!C$5), 'Campaign Metadata'!A$5, "No Campaign"))))</f>
        <v>No Campaign</v>
      </c>
    </row>
    <row r="130" spans="1:16" ht="15.75" customHeight="1" x14ac:dyDescent="0.3">
      <c r="A130" s="4" t="s">
        <v>536</v>
      </c>
      <c r="B130" s="4" t="s">
        <v>31</v>
      </c>
      <c r="C130" s="4" t="s">
        <v>537</v>
      </c>
      <c r="D130" s="4" t="s">
        <v>43</v>
      </c>
      <c r="E130" s="4" t="s">
        <v>86</v>
      </c>
      <c r="F130" s="4">
        <v>2107</v>
      </c>
      <c r="G130" s="4">
        <v>550</v>
      </c>
      <c r="H130" s="4">
        <v>349</v>
      </c>
      <c r="I130" s="4">
        <v>35819</v>
      </c>
      <c r="J130" s="4">
        <v>35340</v>
      </c>
      <c r="K130" s="4">
        <v>191</v>
      </c>
      <c r="L130" s="4" t="s">
        <v>35</v>
      </c>
      <c r="M130" s="4"/>
      <c r="N130">
        <v>1.0389926428975664</v>
      </c>
      <c r="P130" t="str">
        <f>IF(AND(C130 &gt;= 'Campaign Metadata'!B$2, C130 &lt;= 'Campaign Metadata'!C$2), 'Campaign Metadata'!A$2,
 IF(AND(C130 &gt;= 'Campaign Metadata'!B$3, C130 &lt;= 'Campaign Metadata'!C$3), 'Campaign Metadata'!A$3,
 IF(AND(C130 &gt;= 'Campaign Metadata'!B$4, C130 &lt;= 'Campaign Metadata'!C$4), 'Campaign Metadata'!A$4,
 IF(AND(C130 &gt;= 'Campaign Metadata'!B$5, C130 &lt;= 'Campaign Metadata'!C$5), 'Campaign Metadata'!A$5, "No Campaign"))))</f>
        <v>No Campaign</v>
      </c>
    </row>
    <row r="131" spans="1:16" ht="15.75" customHeight="1" x14ac:dyDescent="0.3">
      <c r="A131" s="4" t="s">
        <v>472</v>
      </c>
      <c r="B131" s="4" t="s">
        <v>41</v>
      </c>
      <c r="C131" s="4" t="s">
        <v>473</v>
      </c>
      <c r="D131" s="4" t="s">
        <v>16</v>
      </c>
      <c r="E131" s="4" t="s">
        <v>63</v>
      </c>
      <c r="F131" s="4">
        <v>3960</v>
      </c>
      <c r="G131" s="4">
        <v>266</v>
      </c>
      <c r="H131" s="4">
        <v>8</v>
      </c>
      <c r="I131" s="4">
        <v>35640</v>
      </c>
      <c r="J131" s="4">
        <v>34850</v>
      </c>
      <c r="K131" s="4">
        <v>208</v>
      </c>
      <c r="L131" s="4" t="s">
        <v>60</v>
      </c>
      <c r="M131" s="5" t="s">
        <v>35</v>
      </c>
      <c r="N131">
        <v>1.0305308464849354</v>
      </c>
      <c r="P131" t="str">
        <f>IF(AND(C131 &gt;= 'Campaign Metadata'!B$2, C131 &lt;= 'Campaign Metadata'!C$2), 'Campaign Metadata'!A$2,
 IF(AND(C131 &gt;= 'Campaign Metadata'!B$3, C131 &lt;= 'Campaign Metadata'!C$3), 'Campaign Metadata'!A$3,
 IF(AND(C131 &gt;= 'Campaign Metadata'!B$4, C131 &lt;= 'Campaign Metadata'!C$4), 'Campaign Metadata'!A$4,
 IF(AND(C131 &gt;= 'Campaign Metadata'!B$5, C131 &lt;= 'Campaign Metadata'!C$5), 'Campaign Metadata'!A$5, "No Campaign"))))</f>
        <v>No Campaign</v>
      </c>
    </row>
    <row r="132" spans="1:16" ht="15.75" customHeight="1" x14ac:dyDescent="0.3">
      <c r="A132" s="4" t="s">
        <v>324</v>
      </c>
      <c r="B132" s="4" t="s">
        <v>31</v>
      </c>
      <c r="C132" s="4" t="s">
        <v>181</v>
      </c>
      <c r="D132" s="4" t="s">
        <v>50</v>
      </c>
      <c r="E132" s="4" t="s">
        <v>210</v>
      </c>
      <c r="F132" s="4">
        <v>3559</v>
      </c>
      <c r="G132" s="4">
        <v>59</v>
      </c>
      <c r="H132" s="4">
        <v>289</v>
      </c>
      <c r="I132" s="4">
        <v>35590</v>
      </c>
      <c r="J132" s="4">
        <v>35105</v>
      </c>
      <c r="K132" s="4">
        <v>122</v>
      </c>
      <c r="L132" s="4" t="s">
        <v>35</v>
      </c>
      <c r="M132" s="4"/>
      <c r="N132">
        <v>1.0237288135593221</v>
      </c>
      <c r="P132" t="str">
        <f>IF(AND(C132 &gt;= 'Campaign Metadata'!B$2, C132 &lt;= 'Campaign Metadata'!C$2), 'Campaign Metadata'!A$2,
 IF(AND(C132 &gt;= 'Campaign Metadata'!B$3, C132 &lt;= 'Campaign Metadata'!C$3), 'Campaign Metadata'!A$3,
 IF(AND(C132 &gt;= 'Campaign Metadata'!B$4, C132 &lt;= 'Campaign Metadata'!C$4), 'Campaign Metadata'!A$4,
 IF(AND(C132 &gt;= 'Campaign Metadata'!B$5, C132 &lt;= 'Campaign Metadata'!C$5), 'Campaign Metadata'!A$5, "No Campaign"))))</f>
        <v>No Campaign</v>
      </c>
    </row>
    <row r="133" spans="1:16" ht="15.75" customHeight="1" x14ac:dyDescent="0.3">
      <c r="A133" s="4" t="s">
        <v>136</v>
      </c>
      <c r="B133" s="4" t="s">
        <v>14</v>
      </c>
      <c r="C133" s="4" t="s">
        <v>137</v>
      </c>
      <c r="D133" s="4" t="s">
        <v>50</v>
      </c>
      <c r="E133" s="4" t="s">
        <v>129</v>
      </c>
      <c r="F133" s="4">
        <v>2358</v>
      </c>
      <c r="G133" s="4">
        <v>784</v>
      </c>
      <c r="H133" s="4">
        <v>344</v>
      </c>
      <c r="I133" s="4">
        <v>35370</v>
      </c>
      <c r="J133" s="4">
        <v>34475</v>
      </c>
      <c r="K133" s="4">
        <v>216</v>
      </c>
      <c r="L133" s="4" t="s">
        <v>28</v>
      </c>
      <c r="N133">
        <v>1.0586802030456852</v>
      </c>
      <c r="P133" t="str">
        <f>IF(AND(C133 &gt;= 'Campaign Metadata'!B$2, C133 &lt;= 'Campaign Metadata'!C$2), 'Campaign Metadata'!A$2,
 IF(AND(C133 &gt;= 'Campaign Metadata'!B$3, C133 &lt;= 'Campaign Metadata'!C$3), 'Campaign Metadata'!A$3,
 IF(AND(C133 &gt;= 'Campaign Metadata'!B$4, C133 &lt;= 'Campaign Metadata'!C$4), 'Campaign Metadata'!A$4,
 IF(AND(C133 &gt;= 'Campaign Metadata'!B$5, C133 &lt;= 'Campaign Metadata'!C$5), 'Campaign Metadata'!A$5, "No Campaign"))))</f>
        <v>SustainabilityDrive</v>
      </c>
    </row>
    <row r="134" spans="1:16" ht="15.75" customHeight="1" x14ac:dyDescent="0.3">
      <c r="A134" s="4" t="s">
        <v>454</v>
      </c>
      <c r="B134" s="4" t="s">
        <v>41</v>
      </c>
      <c r="C134" s="4" t="s">
        <v>384</v>
      </c>
      <c r="D134" s="4" t="s">
        <v>50</v>
      </c>
      <c r="E134" s="4" t="s">
        <v>57</v>
      </c>
      <c r="F134" s="4">
        <v>3196</v>
      </c>
      <c r="G134" s="4">
        <v>941</v>
      </c>
      <c r="H134" s="4">
        <v>376</v>
      </c>
      <c r="I134" s="4">
        <v>35156</v>
      </c>
      <c r="J134" s="4">
        <v>34444</v>
      </c>
      <c r="K134" s="4">
        <v>241</v>
      </c>
      <c r="L134" s="4" t="s">
        <v>28</v>
      </c>
      <c r="M134" s="4"/>
      <c r="N134">
        <v>1.0589072117059575</v>
      </c>
      <c r="P134" t="str">
        <f>IF(AND(C134 &gt;= 'Campaign Metadata'!B$2, C134 &lt;= 'Campaign Metadata'!C$2), 'Campaign Metadata'!A$2,
 IF(AND(C134 &gt;= 'Campaign Metadata'!B$3, C134 &lt;= 'Campaign Metadata'!C$3), 'Campaign Metadata'!A$3,
 IF(AND(C134 &gt;= 'Campaign Metadata'!B$4, C134 &lt;= 'Campaign Metadata'!C$4), 'Campaign Metadata'!A$4,
 IF(AND(C134 &gt;= 'Campaign Metadata'!B$5, C134 &lt;= 'Campaign Metadata'!C$5), 'Campaign Metadata'!A$5, "No Campaign"))))</f>
        <v>No Campaign</v>
      </c>
    </row>
    <row r="135" spans="1:16" ht="15.75" customHeight="1" x14ac:dyDescent="0.3">
      <c r="A135" s="4" t="s">
        <v>402</v>
      </c>
      <c r="B135" s="4" t="s">
        <v>599</v>
      </c>
      <c r="C135" s="4" t="s">
        <v>118</v>
      </c>
      <c r="D135" s="4" t="s">
        <v>43</v>
      </c>
      <c r="E135" s="4" t="s">
        <v>66</v>
      </c>
      <c r="F135" s="4">
        <v>2509</v>
      </c>
      <c r="G135" s="4">
        <v>324</v>
      </c>
      <c r="H135" s="4">
        <v>171</v>
      </c>
      <c r="I135" s="4">
        <v>35126</v>
      </c>
      <c r="J135" s="4">
        <v>34685</v>
      </c>
      <c r="K135" s="4">
        <v>277</v>
      </c>
      <c r="L135" s="4" t="s">
        <v>28</v>
      </c>
      <c r="M135" s="4"/>
      <c r="N135">
        <v>1.0269857287011677</v>
      </c>
      <c r="P135" t="str">
        <f>IF(AND(C135 &gt;= 'Campaign Metadata'!B$2, C135 &lt;= 'Campaign Metadata'!C$2), 'Campaign Metadata'!A$2,
 IF(AND(C135 &gt;= 'Campaign Metadata'!B$3, C135 &lt;= 'Campaign Metadata'!C$3), 'Campaign Metadata'!A$3,
 IF(AND(C135 &gt;= 'Campaign Metadata'!B$4, C135 &lt;= 'Campaign Metadata'!C$4), 'Campaign Metadata'!A$4,
 IF(AND(C135 &gt;= 'Campaign Metadata'!B$5, C135 &lt;= 'Campaign Metadata'!C$5), 'Campaign Metadata'!A$5, "No Campaign"))))</f>
        <v>No Campaign</v>
      </c>
    </row>
    <row r="136" spans="1:16" ht="15.75" customHeight="1" x14ac:dyDescent="0.3">
      <c r="A136" s="4" t="s">
        <v>214</v>
      </c>
      <c r="B136" s="4" t="s">
        <v>41</v>
      </c>
      <c r="C136" s="4" t="s">
        <v>215</v>
      </c>
      <c r="D136" s="4" t="s">
        <v>50</v>
      </c>
      <c r="E136" s="4" t="s">
        <v>57</v>
      </c>
      <c r="F136" s="4">
        <v>1841</v>
      </c>
      <c r="G136" s="4">
        <v>851</v>
      </c>
      <c r="H136" s="4">
        <v>342</v>
      </c>
      <c r="I136" s="4">
        <v>34979</v>
      </c>
      <c r="J136" s="4">
        <v>34154</v>
      </c>
      <c r="K136" s="4">
        <v>255</v>
      </c>
      <c r="L136" s="4" t="s">
        <v>60</v>
      </c>
      <c r="M136" s="4"/>
      <c r="N136">
        <v>1.0590853194354981</v>
      </c>
      <c r="P136" t="str">
        <f>IF(AND(C136 &gt;= 'Campaign Metadata'!B$2, C136 &lt;= 'Campaign Metadata'!C$2), 'Campaign Metadata'!A$2,
 IF(AND(C136 &gt;= 'Campaign Metadata'!B$3, C136 &lt;= 'Campaign Metadata'!C$3), 'Campaign Metadata'!A$3,
 IF(AND(C136 &gt;= 'Campaign Metadata'!B$4, C136 &lt;= 'Campaign Metadata'!C$4), 'Campaign Metadata'!A$4,
 IF(AND(C136 &gt;= 'Campaign Metadata'!B$5, C136 &lt;= 'Campaign Metadata'!C$5), 'Campaign Metadata'!A$5, "No Campaign"))))</f>
        <v>No Campaign</v>
      </c>
    </row>
    <row r="137" spans="1:16" ht="15.75" customHeight="1" x14ac:dyDescent="0.3">
      <c r="A137" s="4" t="s">
        <v>286</v>
      </c>
      <c r="B137" s="4" t="s">
        <v>14</v>
      </c>
      <c r="C137" s="4" t="s">
        <v>287</v>
      </c>
      <c r="D137" s="4" t="s">
        <v>43</v>
      </c>
      <c r="E137" s="4" t="s">
        <v>47</v>
      </c>
      <c r="F137" s="4">
        <v>3811</v>
      </c>
      <c r="G137" s="4">
        <v>866</v>
      </c>
      <c r="H137" s="4">
        <v>216</v>
      </c>
      <c r="I137" s="4">
        <v>34299</v>
      </c>
      <c r="J137" s="4">
        <v>34088</v>
      </c>
      <c r="K137" s="4">
        <v>233</v>
      </c>
      <c r="L137" s="4" t="s">
        <v>28</v>
      </c>
      <c r="M137" s="4"/>
      <c r="N137">
        <v>1.0379312367988736</v>
      </c>
      <c r="P137" t="str">
        <f>IF(AND(C137 &gt;= 'Campaign Metadata'!B$2, C137 &lt;= 'Campaign Metadata'!C$2), 'Campaign Metadata'!A$2,
 IF(AND(C137 &gt;= 'Campaign Metadata'!B$3, C137 &lt;= 'Campaign Metadata'!C$3), 'Campaign Metadata'!A$3,
 IF(AND(C137 &gt;= 'Campaign Metadata'!B$4, C137 &lt;= 'Campaign Metadata'!C$4), 'Campaign Metadata'!A$4,
 IF(AND(C137 &gt;= 'Campaign Metadata'!B$5, C137 &lt;= 'Campaign Metadata'!C$5), 'Campaign Metadata'!A$5, "No Campaign"))))</f>
        <v>No Campaign</v>
      </c>
    </row>
    <row r="138" spans="1:16" ht="15.75" customHeight="1" x14ac:dyDescent="0.3">
      <c r="A138" s="4" t="s">
        <v>353</v>
      </c>
      <c r="B138" s="4" t="s">
        <v>599</v>
      </c>
      <c r="C138" s="4" t="s">
        <v>354</v>
      </c>
      <c r="D138" s="4" t="s">
        <v>72</v>
      </c>
      <c r="E138" s="4" t="s">
        <v>213</v>
      </c>
      <c r="F138" s="4">
        <v>3809</v>
      </c>
      <c r="G138" s="4">
        <v>273</v>
      </c>
      <c r="H138" s="4">
        <v>200</v>
      </c>
      <c r="I138" s="4">
        <v>34281</v>
      </c>
      <c r="J138" s="4">
        <v>33534</v>
      </c>
      <c r="K138" s="4">
        <v>83</v>
      </c>
      <c r="L138" s="4" t="s">
        <v>35</v>
      </c>
      <c r="M138" s="4"/>
      <c r="N138">
        <v>1.0363809864615017</v>
      </c>
      <c r="P138" t="str">
        <f>IF(AND(C138 &gt;= 'Campaign Metadata'!B$2, C138 &lt;= 'Campaign Metadata'!C$2), 'Campaign Metadata'!A$2,
 IF(AND(C138 &gt;= 'Campaign Metadata'!B$3, C138 &lt;= 'Campaign Metadata'!C$3), 'Campaign Metadata'!A$3,
 IF(AND(C138 &gt;= 'Campaign Metadata'!B$4, C138 &lt;= 'Campaign Metadata'!C$4), 'Campaign Metadata'!A$4,
 IF(AND(C138 &gt;= 'Campaign Metadata'!B$5, C138 &lt;= 'Campaign Metadata'!C$5), 'Campaign Metadata'!A$5, "No Campaign"))))</f>
        <v>No Campaign</v>
      </c>
    </row>
    <row r="139" spans="1:16" ht="15.75" customHeight="1" x14ac:dyDescent="0.3">
      <c r="A139" s="4" t="s">
        <v>414</v>
      </c>
      <c r="B139" s="4" t="s">
        <v>14</v>
      </c>
      <c r="C139" s="4" t="s">
        <v>415</v>
      </c>
      <c r="D139" s="4" t="s">
        <v>43</v>
      </c>
      <c r="E139" s="4" t="s">
        <v>47</v>
      </c>
      <c r="F139" s="4">
        <v>4274</v>
      </c>
      <c r="G139" s="4">
        <v>340</v>
      </c>
      <c r="H139" s="4">
        <v>281</v>
      </c>
      <c r="I139" s="4">
        <v>34192</v>
      </c>
      <c r="J139" s="4">
        <v>33446</v>
      </c>
      <c r="K139" s="4">
        <v>129</v>
      </c>
      <c r="L139" s="4" t="s">
        <v>28</v>
      </c>
      <c r="M139" s="4" t="s">
        <v>593</v>
      </c>
      <c r="N139">
        <v>1.040871853136399</v>
      </c>
      <c r="P139" t="str">
        <f>IF(AND(C139 &gt;= 'Campaign Metadata'!B$2, C139 &lt;= 'Campaign Metadata'!C$2), 'Campaign Metadata'!A$2,
 IF(AND(C139 &gt;= 'Campaign Metadata'!B$3, C139 &lt;= 'Campaign Metadata'!C$3), 'Campaign Metadata'!A$3,
 IF(AND(C139 &gt;= 'Campaign Metadata'!B$4, C139 &lt;= 'Campaign Metadata'!C$4), 'Campaign Metadata'!A$4,
 IF(AND(C139 &gt;= 'Campaign Metadata'!B$5, C139 &lt;= 'Campaign Metadata'!C$5), 'Campaign Metadata'!A$5, "No Campaign"))))</f>
        <v>FSDUpdate</v>
      </c>
    </row>
    <row r="140" spans="1:16" ht="15.75" customHeight="1" x14ac:dyDescent="0.3">
      <c r="A140" s="4" t="s">
        <v>320</v>
      </c>
      <c r="B140" s="4" t="s">
        <v>14</v>
      </c>
      <c r="C140" s="4" t="s">
        <v>321</v>
      </c>
      <c r="D140" s="4" t="s">
        <v>72</v>
      </c>
      <c r="E140" s="4" t="s">
        <v>142</v>
      </c>
      <c r="F140" s="4">
        <v>1702</v>
      </c>
      <c r="G140" s="4">
        <v>750</v>
      </c>
      <c r="H140" s="4">
        <v>179</v>
      </c>
      <c r="I140" s="4">
        <v>34040</v>
      </c>
      <c r="J140" s="4">
        <v>33174</v>
      </c>
      <c r="K140" s="4">
        <v>76</v>
      </c>
      <c r="L140" s="4" t="s">
        <v>35</v>
      </c>
      <c r="M140" s="4"/>
      <c r="N140">
        <v>1.0541086392958341</v>
      </c>
      <c r="P140" t="str">
        <f>IF(AND(C140 &gt;= 'Campaign Metadata'!B$2, C140 &lt;= 'Campaign Metadata'!C$2), 'Campaign Metadata'!A$2,
 IF(AND(C140 &gt;= 'Campaign Metadata'!B$3, C140 &lt;= 'Campaign Metadata'!C$3), 'Campaign Metadata'!A$3,
 IF(AND(C140 &gt;= 'Campaign Metadata'!B$4, C140 &lt;= 'Campaign Metadata'!C$4), 'Campaign Metadata'!A$4,
 IF(AND(C140 &gt;= 'Campaign Metadata'!B$5, C140 &lt;= 'Campaign Metadata'!C$5), 'Campaign Metadata'!A$5, "No Campaign"))))</f>
        <v>CybertruckLaunch</v>
      </c>
    </row>
    <row r="141" spans="1:16" ht="15.75" customHeight="1" x14ac:dyDescent="0.3">
      <c r="A141" s="4" t="s">
        <v>117</v>
      </c>
      <c r="B141" s="4" t="s">
        <v>31</v>
      </c>
      <c r="C141" s="4" t="s">
        <v>118</v>
      </c>
      <c r="D141" s="4" t="s">
        <v>72</v>
      </c>
      <c r="E141" s="4" t="s">
        <v>83</v>
      </c>
      <c r="F141" s="4">
        <v>3775</v>
      </c>
      <c r="G141" s="4">
        <v>16</v>
      </c>
      <c r="H141" s="4">
        <v>239</v>
      </c>
      <c r="I141" s="4">
        <v>33975</v>
      </c>
      <c r="J141" s="4">
        <v>33310</v>
      </c>
      <c r="K141" s="4">
        <v>271</v>
      </c>
      <c r="L141" s="4" t="s">
        <v>60</v>
      </c>
      <c r="M141" s="4"/>
      <c r="N141">
        <v>1.0276193335334733</v>
      </c>
      <c r="P141" t="str">
        <f>IF(AND(C141 &gt;= 'Campaign Metadata'!B$2, C141 &lt;= 'Campaign Metadata'!C$2), 'Campaign Metadata'!A$2,
 IF(AND(C141 &gt;= 'Campaign Metadata'!B$3, C141 &lt;= 'Campaign Metadata'!C$3), 'Campaign Metadata'!A$3,
 IF(AND(C141 &gt;= 'Campaign Metadata'!B$4, C141 &lt;= 'Campaign Metadata'!C$4), 'Campaign Metadata'!A$4,
 IF(AND(C141 &gt;= 'Campaign Metadata'!B$5, C141 &lt;= 'Campaign Metadata'!C$5), 'Campaign Metadata'!A$5, "No Campaign"))))</f>
        <v>No Campaign</v>
      </c>
    </row>
    <row r="142" spans="1:16" ht="15.75" customHeight="1" x14ac:dyDescent="0.3">
      <c r="A142" s="4" t="s">
        <v>67</v>
      </c>
      <c r="B142" s="4" t="s">
        <v>41</v>
      </c>
      <c r="C142" s="4" t="s">
        <v>68</v>
      </c>
      <c r="D142" s="4" t="s">
        <v>33</v>
      </c>
      <c r="E142" s="4" t="s">
        <v>69</v>
      </c>
      <c r="F142" s="4">
        <v>4242</v>
      </c>
      <c r="G142" s="4">
        <v>555</v>
      </c>
      <c r="H142" s="4">
        <v>131</v>
      </c>
      <c r="I142" s="4">
        <v>33936</v>
      </c>
      <c r="J142" s="4">
        <v>33802</v>
      </c>
      <c r="K142" s="4">
        <v>265</v>
      </c>
      <c r="L142" s="4" t="s">
        <v>60</v>
      </c>
      <c r="N142">
        <v>1.0242589195905567</v>
      </c>
      <c r="P142" t="str">
        <f>IF(AND(C142 &gt;= 'Campaign Metadata'!B$2, C142 &lt;= 'Campaign Metadata'!C$2), 'Campaign Metadata'!A$2,
 IF(AND(C142 &gt;= 'Campaign Metadata'!B$3, C142 &lt;= 'Campaign Metadata'!C$3), 'Campaign Metadata'!A$3,
 IF(AND(C142 &gt;= 'Campaign Metadata'!B$4, C142 &lt;= 'Campaign Metadata'!C$4), 'Campaign Metadata'!A$4,
 IF(AND(C142 &gt;= 'Campaign Metadata'!B$5, C142 &lt;= 'Campaign Metadata'!C$5), 'Campaign Metadata'!A$5, "No Campaign"))))</f>
        <v>No Campaign</v>
      </c>
    </row>
    <row r="143" spans="1:16" ht="15.75" customHeight="1" x14ac:dyDescent="0.3">
      <c r="A143" s="4" t="s">
        <v>99</v>
      </c>
      <c r="B143" s="4" t="s">
        <v>599</v>
      </c>
      <c r="C143" s="4" t="s">
        <v>100</v>
      </c>
      <c r="D143" s="4" t="s">
        <v>21</v>
      </c>
      <c r="E143" s="4" t="s">
        <v>101</v>
      </c>
      <c r="F143" s="4">
        <v>2076</v>
      </c>
      <c r="G143" s="4">
        <v>195</v>
      </c>
      <c r="H143" s="4">
        <v>104</v>
      </c>
      <c r="I143" s="4">
        <v>33216</v>
      </c>
      <c r="J143" s="4">
        <v>32244</v>
      </c>
      <c r="K143" s="4">
        <v>51</v>
      </c>
      <c r="L143" s="4" t="s">
        <v>60</v>
      </c>
      <c r="M143" s="4"/>
      <c r="N143">
        <v>1.0394181863292395</v>
      </c>
      <c r="P143" t="str">
        <f>IF(AND(C143 &gt;= 'Campaign Metadata'!B$2, C143 &lt;= 'Campaign Metadata'!C$2), 'Campaign Metadata'!A$2,
 IF(AND(C143 &gt;= 'Campaign Metadata'!B$3, C143 &lt;= 'Campaign Metadata'!C$3), 'Campaign Metadata'!A$3,
 IF(AND(C143 &gt;= 'Campaign Metadata'!B$4, C143 &lt;= 'Campaign Metadata'!C$4), 'Campaign Metadata'!A$4,
 IF(AND(C143 &gt;= 'Campaign Metadata'!B$5, C143 &lt;= 'Campaign Metadata'!C$5), 'Campaign Metadata'!A$5, "No Campaign"))))</f>
        <v>No Campaign</v>
      </c>
    </row>
    <row r="144" spans="1:16" ht="15.75" customHeight="1" x14ac:dyDescent="0.3">
      <c r="A144" s="4" t="s">
        <v>306</v>
      </c>
      <c r="B144" s="4" t="s">
        <v>599</v>
      </c>
      <c r="C144" s="4" t="s">
        <v>307</v>
      </c>
      <c r="D144" s="4" t="s">
        <v>21</v>
      </c>
      <c r="E144" s="4" t="s">
        <v>101</v>
      </c>
      <c r="F144" s="4">
        <v>2746</v>
      </c>
      <c r="G144" s="4">
        <v>156</v>
      </c>
      <c r="H144" s="4">
        <v>203</v>
      </c>
      <c r="I144" s="4">
        <v>32952</v>
      </c>
      <c r="J144" s="4">
        <v>32147</v>
      </c>
      <c r="K144" s="4">
        <v>147</v>
      </c>
      <c r="L144" s="4" t="s">
        <v>35</v>
      </c>
      <c r="M144" s="4"/>
      <c r="N144">
        <v>1.0362086664385479</v>
      </c>
      <c r="P144" t="str">
        <f>IF(AND(C144 &gt;= 'Campaign Metadata'!B$2, C144 &lt;= 'Campaign Metadata'!C$2), 'Campaign Metadata'!A$2,
 IF(AND(C144 &gt;= 'Campaign Metadata'!B$3, C144 &lt;= 'Campaign Metadata'!C$3), 'Campaign Metadata'!A$3,
 IF(AND(C144 &gt;= 'Campaign Metadata'!B$4, C144 &lt;= 'Campaign Metadata'!C$4), 'Campaign Metadata'!A$4,
 IF(AND(C144 &gt;= 'Campaign Metadata'!B$5, C144 &lt;= 'Campaign Metadata'!C$5), 'Campaign Metadata'!A$5, "No Campaign"))))</f>
        <v>ModelYCampaign</v>
      </c>
    </row>
    <row r="145" spans="1:16" ht="15.75" customHeight="1" x14ac:dyDescent="0.3">
      <c r="A145" s="4" t="s">
        <v>249</v>
      </c>
      <c r="B145" s="4" t="s">
        <v>599</v>
      </c>
      <c r="C145" s="4" t="s">
        <v>250</v>
      </c>
      <c r="D145" s="4" t="s">
        <v>33</v>
      </c>
      <c r="E145" s="4" t="s">
        <v>151</v>
      </c>
      <c r="F145" s="4">
        <v>3655</v>
      </c>
      <c r="G145" s="4">
        <v>568</v>
      </c>
      <c r="H145" s="4">
        <v>286</v>
      </c>
      <c r="I145" s="4">
        <v>32895</v>
      </c>
      <c r="J145" s="4">
        <v>32015</v>
      </c>
      <c r="K145" s="4">
        <v>199</v>
      </c>
      <c r="L145" s="4" t="s">
        <v>28</v>
      </c>
      <c r="M145" s="4"/>
      <c r="N145">
        <v>1.0541621115102295</v>
      </c>
      <c r="P145" t="str">
        <f>IF(AND(C145 &gt;= 'Campaign Metadata'!B$2, C145 &lt;= 'Campaign Metadata'!C$2), 'Campaign Metadata'!A$2,
 IF(AND(C145 &gt;= 'Campaign Metadata'!B$3, C145 &lt;= 'Campaign Metadata'!C$3), 'Campaign Metadata'!A$3,
 IF(AND(C145 &gt;= 'Campaign Metadata'!B$4, C145 &lt;= 'Campaign Metadata'!C$4), 'Campaign Metadata'!A$4,
 IF(AND(C145 &gt;= 'Campaign Metadata'!B$5, C145 &lt;= 'Campaign Metadata'!C$5), 'Campaign Metadata'!A$5, "No Campaign"))))</f>
        <v>SustainabilityDrive</v>
      </c>
    </row>
    <row r="146" spans="1:16" ht="15.75" customHeight="1" x14ac:dyDescent="0.3">
      <c r="A146" s="4" t="s">
        <v>378</v>
      </c>
      <c r="B146" s="4" t="s">
        <v>14</v>
      </c>
      <c r="C146" s="4" t="s">
        <v>379</v>
      </c>
      <c r="D146" s="4" t="s">
        <v>50</v>
      </c>
      <c r="E146" s="4" t="s">
        <v>129</v>
      </c>
      <c r="F146" s="4">
        <v>3215</v>
      </c>
      <c r="G146" s="4">
        <v>960</v>
      </c>
      <c r="H146" s="4">
        <v>202</v>
      </c>
      <c r="I146" s="4">
        <v>32150</v>
      </c>
      <c r="J146" s="4">
        <v>31404</v>
      </c>
      <c r="K146" s="4">
        <v>251</v>
      </c>
      <c r="L146" s="4" t="s">
        <v>35</v>
      </c>
      <c r="M146" s="4"/>
      <c r="N146">
        <v>1.0607565915170043</v>
      </c>
      <c r="P146" t="str">
        <f>IF(AND(C146 &gt;= 'Campaign Metadata'!B$2, C146 &lt;= 'Campaign Metadata'!C$2), 'Campaign Metadata'!A$2,
 IF(AND(C146 &gt;= 'Campaign Metadata'!B$3, C146 &lt;= 'Campaign Metadata'!C$3), 'Campaign Metadata'!A$3,
 IF(AND(C146 &gt;= 'Campaign Metadata'!B$4, C146 &lt;= 'Campaign Metadata'!C$4), 'Campaign Metadata'!A$4,
 IF(AND(C146 &gt;= 'Campaign Metadata'!B$5, C146 &lt;= 'Campaign Metadata'!C$5), 'Campaign Metadata'!A$5, "No Campaign"))))</f>
        <v>No Campaign</v>
      </c>
    </row>
    <row r="147" spans="1:16" ht="15.75" customHeight="1" x14ac:dyDescent="0.3">
      <c r="A147" s="4" t="s">
        <v>91</v>
      </c>
      <c r="B147" s="4" t="s">
        <v>41</v>
      </c>
      <c r="C147" s="4" t="s">
        <v>92</v>
      </c>
      <c r="D147" s="4" t="s">
        <v>72</v>
      </c>
      <c r="E147" s="4" t="s">
        <v>73</v>
      </c>
      <c r="F147" s="4">
        <v>1606</v>
      </c>
      <c r="G147" s="4">
        <v>547</v>
      </c>
      <c r="H147" s="4">
        <v>316</v>
      </c>
      <c r="I147" s="4">
        <v>32120</v>
      </c>
      <c r="J147" s="4">
        <v>31736</v>
      </c>
      <c r="K147" s="4">
        <v>225</v>
      </c>
      <c r="L147" s="4" t="s">
        <v>28</v>
      </c>
      <c r="M147" s="4" t="s">
        <v>600</v>
      </c>
      <c r="N147">
        <v>1.0392929165616336</v>
      </c>
      <c r="P147" t="str">
        <f>IF(AND(C147 &gt;= 'Campaign Metadata'!B$2, C147 &lt;= 'Campaign Metadata'!C$2), 'Campaign Metadata'!A$2,
 IF(AND(C147 &gt;= 'Campaign Metadata'!B$3, C147 &lt;= 'Campaign Metadata'!C$3), 'Campaign Metadata'!A$3,
 IF(AND(C147 &gt;= 'Campaign Metadata'!B$4, C147 &lt;= 'Campaign Metadata'!C$4), 'Campaign Metadata'!A$4,
 IF(AND(C147 &gt;= 'Campaign Metadata'!B$5, C147 &lt;= 'Campaign Metadata'!C$5), 'Campaign Metadata'!A$5, "No Campaign"))))</f>
        <v>No Campaign</v>
      </c>
    </row>
    <row r="148" spans="1:16" ht="15.75" customHeight="1" x14ac:dyDescent="0.3">
      <c r="A148" s="4" t="s">
        <v>433</v>
      </c>
      <c r="B148" s="4" t="s">
        <v>41</v>
      </c>
      <c r="C148" s="4" t="s">
        <v>250</v>
      </c>
      <c r="D148" s="4" t="s">
        <v>72</v>
      </c>
      <c r="E148" s="4" t="s">
        <v>73</v>
      </c>
      <c r="F148" s="4">
        <v>4453</v>
      </c>
      <c r="G148" s="4">
        <v>111</v>
      </c>
      <c r="H148" s="4">
        <v>420</v>
      </c>
      <c r="I148" s="4">
        <v>31171</v>
      </c>
      <c r="J148" s="4">
        <v>30565</v>
      </c>
      <c r="K148" s="4">
        <v>23</v>
      </c>
      <c r="L148" s="4" t="s">
        <v>28</v>
      </c>
      <c r="N148">
        <v>1.0371994110911174</v>
      </c>
      <c r="P148" t="str">
        <f>IF(AND(C148 &gt;= 'Campaign Metadata'!B$2, C148 &lt;= 'Campaign Metadata'!C$2), 'Campaign Metadata'!A$2,
 IF(AND(C148 &gt;= 'Campaign Metadata'!B$3, C148 &lt;= 'Campaign Metadata'!C$3), 'Campaign Metadata'!A$3,
 IF(AND(C148 &gt;= 'Campaign Metadata'!B$4, C148 &lt;= 'Campaign Metadata'!C$4), 'Campaign Metadata'!A$4,
 IF(AND(C148 &gt;= 'Campaign Metadata'!B$5, C148 &lt;= 'Campaign Metadata'!C$5), 'Campaign Metadata'!A$5, "No Campaign"))))</f>
        <v>SustainabilityDrive</v>
      </c>
    </row>
    <row r="149" spans="1:16" ht="15.75" customHeight="1" x14ac:dyDescent="0.3">
      <c r="A149" s="4" t="s">
        <v>363</v>
      </c>
      <c r="B149" s="4" t="s">
        <v>41</v>
      </c>
      <c r="C149" s="4" t="s">
        <v>168</v>
      </c>
      <c r="D149" s="4" t="s">
        <v>21</v>
      </c>
      <c r="E149" s="4" t="s">
        <v>54</v>
      </c>
      <c r="F149" s="4">
        <v>3828</v>
      </c>
      <c r="G149" s="4">
        <v>148</v>
      </c>
      <c r="H149" s="4">
        <v>253</v>
      </c>
      <c r="I149" s="4">
        <v>30624</v>
      </c>
      <c r="J149" s="4">
        <v>30229</v>
      </c>
      <c r="K149" s="4">
        <v>235</v>
      </c>
      <c r="L149" s="4" t="s">
        <v>35</v>
      </c>
      <c r="N149">
        <v>1.0263323298819016</v>
      </c>
      <c r="P149" t="str">
        <f>IF(AND(C149 &gt;= 'Campaign Metadata'!B$2, C149 &lt;= 'Campaign Metadata'!C$2), 'Campaign Metadata'!A$2,
 IF(AND(C149 &gt;= 'Campaign Metadata'!B$3, C149 &lt;= 'Campaign Metadata'!C$3), 'Campaign Metadata'!A$3,
 IF(AND(C149 &gt;= 'Campaign Metadata'!B$4, C149 &lt;= 'Campaign Metadata'!C$4), 'Campaign Metadata'!A$4,
 IF(AND(C149 &gt;= 'Campaign Metadata'!B$5, C149 &lt;= 'Campaign Metadata'!C$5), 'Campaign Metadata'!A$5, "No Campaign"))))</f>
        <v>CybertruckLaunch</v>
      </c>
    </row>
    <row r="150" spans="1:16" ht="15.75" customHeight="1" x14ac:dyDescent="0.3">
      <c r="A150" s="4" t="s">
        <v>189</v>
      </c>
      <c r="B150" s="4" t="s">
        <v>599</v>
      </c>
      <c r="C150" s="4" t="s">
        <v>190</v>
      </c>
      <c r="D150" s="4" t="s">
        <v>43</v>
      </c>
      <c r="E150" s="4" t="s">
        <v>66</v>
      </c>
      <c r="F150" s="4">
        <v>2551</v>
      </c>
      <c r="G150" s="4">
        <v>915</v>
      </c>
      <c r="H150" s="4">
        <v>205</v>
      </c>
      <c r="I150" s="4">
        <v>30612</v>
      </c>
      <c r="J150" s="4">
        <v>30360</v>
      </c>
      <c r="K150" s="4">
        <v>227</v>
      </c>
      <c r="L150" s="4" t="s">
        <v>28</v>
      </c>
      <c r="M150" s="4"/>
      <c r="N150">
        <v>1.0451910408432148</v>
      </c>
      <c r="P150" t="str">
        <f>IF(AND(C150 &gt;= 'Campaign Metadata'!B$2, C150 &lt;= 'Campaign Metadata'!C$2), 'Campaign Metadata'!A$2,
 IF(AND(C150 &gt;= 'Campaign Metadata'!B$3, C150 &lt;= 'Campaign Metadata'!C$3), 'Campaign Metadata'!A$3,
 IF(AND(C150 &gt;= 'Campaign Metadata'!B$4, C150 &lt;= 'Campaign Metadata'!C$4), 'Campaign Metadata'!A$4,
 IF(AND(C150 &gt;= 'Campaign Metadata'!B$5, C150 &lt;= 'Campaign Metadata'!C$5), 'Campaign Metadata'!A$5, "No Campaign"))))</f>
        <v>No Campaign</v>
      </c>
    </row>
    <row r="151" spans="1:16" ht="15.75" customHeight="1" x14ac:dyDescent="0.3">
      <c r="A151" s="4" t="s">
        <v>167</v>
      </c>
      <c r="B151" s="4" t="s">
        <v>31</v>
      </c>
      <c r="C151" s="4" t="s">
        <v>168</v>
      </c>
      <c r="D151" s="4" t="s">
        <v>21</v>
      </c>
      <c r="E151" s="4" t="s">
        <v>110</v>
      </c>
      <c r="F151" s="4">
        <v>2180</v>
      </c>
      <c r="G151" s="4">
        <v>263</v>
      </c>
      <c r="H151" s="4">
        <v>387</v>
      </c>
      <c r="I151" s="4">
        <v>30520</v>
      </c>
      <c r="J151" s="4">
        <v>30059</v>
      </c>
      <c r="K151" s="4">
        <v>174</v>
      </c>
      <c r="L151" s="4" t="s">
        <v>35</v>
      </c>
      <c r="N151">
        <v>1.036960644066669</v>
      </c>
      <c r="P151" t="str">
        <f>IF(AND(C151 &gt;= 'Campaign Metadata'!B$2, C151 &lt;= 'Campaign Metadata'!C$2), 'Campaign Metadata'!A$2,
 IF(AND(C151 &gt;= 'Campaign Metadata'!B$3, C151 &lt;= 'Campaign Metadata'!C$3), 'Campaign Metadata'!A$3,
 IF(AND(C151 &gt;= 'Campaign Metadata'!B$4, C151 &lt;= 'Campaign Metadata'!C$4), 'Campaign Metadata'!A$4,
 IF(AND(C151 &gt;= 'Campaign Metadata'!B$5, C151 &lt;= 'Campaign Metadata'!C$5), 'Campaign Metadata'!A$5, "No Campaign"))))</f>
        <v>CybertruckLaunch</v>
      </c>
    </row>
    <row r="152" spans="1:16" ht="15.75" customHeight="1" x14ac:dyDescent="0.3">
      <c r="A152" s="4" t="s">
        <v>461</v>
      </c>
      <c r="B152" s="4" t="s">
        <v>41</v>
      </c>
      <c r="C152" s="4" t="s">
        <v>462</v>
      </c>
      <c r="D152" s="4" t="s">
        <v>33</v>
      </c>
      <c r="E152" s="4" t="s">
        <v>69</v>
      </c>
      <c r="F152" s="4">
        <v>4321</v>
      </c>
      <c r="G152" s="4">
        <v>874</v>
      </c>
      <c r="H152" s="4">
        <v>172</v>
      </c>
      <c r="I152" s="4">
        <v>30247</v>
      </c>
      <c r="J152" s="4">
        <v>29254</v>
      </c>
      <c r="K152" s="4">
        <v>122</v>
      </c>
      <c r="L152" s="4" t="s">
        <v>28</v>
      </c>
      <c r="M152" s="4"/>
      <c r="N152">
        <v>1.0696998701032336</v>
      </c>
      <c r="P152" t="str">
        <f>IF(AND(C152 &gt;= 'Campaign Metadata'!B$2, C152 &lt;= 'Campaign Metadata'!C$2), 'Campaign Metadata'!A$2,
 IF(AND(C152 &gt;= 'Campaign Metadata'!B$3, C152 &lt;= 'Campaign Metadata'!C$3), 'Campaign Metadata'!A$3,
 IF(AND(C152 &gt;= 'Campaign Metadata'!B$4, C152 &lt;= 'Campaign Metadata'!C$4), 'Campaign Metadata'!A$4,
 IF(AND(C152 &gt;= 'Campaign Metadata'!B$5, C152 &lt;= 'Campaign Metadata'!C$5), 'Campaign Metadata'!A$5, "No Campaign"))))</f>
        <v>No Campaign</v>
      </c>
    </row>
    <row r="153" spans="1:16" ht="15.75" customHeight="1" x14ac:dyDescent="0.3">
      <c r="A153" s="4" t="s">
        <v>428</v>
      </c>
      <c r="B153" s="4" t="s">
        <v>599</v>
      </c>
      <c r="C153" s="4" t="s">
        <v>262</v>
      </c>
      <c r="D153" s="4" t="s">
        <v>33</v>
      </c>
      <c r="E153" s="4" t="s">
        <v>151</v>
      </c>
      <c r="F153" s="4">
        <v>1509</v>
      </c>
      <c r="G153" s="4">
        <v>88</v>
      </c>
      <c r="H153" s="4">
        <v>163</v>
      </c>
      <c r="I153" s="4">
        <v>30180</v>
      </c>
      <c r="J153" s="4">
        <v>29689</v>
      </c>
      <c r="K153" s="4">
        <v>119</v>
      </c>
      <c r="L153" s="4" t="s">
        <v>35</v>
      </c>
      <c r="M153" s="4"/>
      <c r="N153">
        <v>1.0249924214355486</v>
      </c>
      <c r="P153" t="str">
        <f>IF(AND(C153 &gt;= 'Campaign Metadata'!B$2, C153 &lt;= 'Campaign Metadata'!C$2), 'Campaign Metadata'!A$2,
 IF(AND(C153 &gt;= 'Campaign Metadata'!B$3, C153 &lt;= 'Campaign Metadata'!C$3), 'Campaign Metadata'!A$3,
 IF(AND(C153 &gt;= 'Campaign Metadata'!B$4, C153 &lt;= 'Campaign Metadata'!C$4), 'Campaign Metadata'!A$4,
 IF(AND(C153 &gt;= 'Campaign Metadata'!B$5, C153 &lt;= 'Campaign Metadata'!C$5), 'Campaign Metadata'!A$5, "No Campaign"))))</f>
        <v>No Campaign</v>
      </c>
    </row>
    <row r="154" spans="1:16" ht="15.75" customHeight="1" x14ac:dyDescent="0.3">
      <c r="A154" s="4" t="s">
        <v>407</v>
      </c>
      <c r="B154" s="4" t="s">
        <v>41</v>
      </c>
      <c r="C154" s="4" t="s">
        <v>408</v>
      </c>
      <c r="D154" s="4" t="s">
        <v>50</v>
      </c>
      <c r="E154" s="4" t="s">
        <v>57</v>
      </c>
      <c r="F154" s="4">
        <v>1871</v>
      </c>
      <c r="G154" s="4">
        <v>252</v>
      </c>
      <c r="H154" s="4">
        <v>335</v>
      </c>
      <c r="I154" s="4">
        <v>29936</v>
      </c>
      <c r="J154" s="4">
        <v>29576</v>
      </c>
      <c r="K154" s="4">
        <v>288</v>
      </c>
      <c r="L154" s="4" t="s">
        <v>35</v>
      </c>
      <c r="M154" s="4"/>
      <c r="N154">
        <v>1.0320192047606167</v>
      </c>
      <c r="P154" t="str">
        <f>IF(AND(C154 &gt;= 'Campaign Metadata'!B$2, C154 &lt;= 'Campaign Metadata'!C$2), 'Campaign Metadata'!A$2,
 IF(AND(C154 &gt;= 'Campaign Metadata'!B$3, C154 &lt;= 'Campaign Metadata'!C$3), 'Campaign Metadata'!A$3,
 IF(AND(C154 &gt;= 'Campaign Metadata'!B$4, C154 &lt;= 'Campaign Metadata'!C$4), 'Campaign Metadata'!A$4,
 IF(AND(C154 &gt;= 'Campaign Metadata'!B$5, C154 &lt;= 'Campaign Metadata'!C$5), 'Campaign Metadata'!A$5, "No Campaign"))))</f>
        <v>No Campaign</v>
      </c>
    </row>
    <row r="155" spans="1:16" ht="15.75" customHeight="1" x14ac:dyDescent="0.3">
      <c r="A155" s="4" t="s">
        <v>115</v>
      </c>
      <c r="B155" s="4" t="s">
        <v>41</v>
      </c>
      <c r="C155" s="4" t="s">
        <v>116</v>
      </c>
      <c r="D155" s="4" t="s">
        <v>21</v>
      </c>
      <c r="E155" s="4" t="s">
        <v>54</v>
      </c>
      <c r="F155" s="4">
        <v>1652</v>
      </c>
      <c r="G155" s="4">
        <v>89</v>
      </c>
      <c r="H155" s="4">
        <v>357</v>
      </c>
      <c r="I155" s="4">
        <v>29736</v>
      </c>
      <c r="J155" s="4">
        <v>28771</v>
      </c>
      <c r="K155" s="4">
        <v>215</v>
      </c>
      <c r="L155" s="4" t="s">
        <v>28</v>
      </c>
      <c r="M155" s="4"/>
      <c r="N155">
        <v>1.0490424385666122</v>
      </c>
      <c r="P155" t="str">
        <f>IF(AND(C155 &gt;= 'Campaign Metadata'!B$2, C155 &lt;= 'Campaign Metadata'!C$2), 'Campaign Metadata'!A$2,
 IF(AND(C155 &gt;= 'Campaign Metadata'!B$3, C155 &lt;= 'Campaign Metadata'!C$3), 'Campaign Metadata'!A$3,
 IF(AND(C155 &gt;= 'Campaign Metadata'!B$4, C155 &lt;= 'Campaign Metadata'!C$4), 'Campaign Metadata'!A$4,
 IF(AND(C155 &gt;= 'Campaign Metadata'!B$5, C155 &lt;= 'Campaign Metadata'!C$5), 'Campaign Metadata'!A$5, "No Campaign"))))</f>
        <v>SustainabilityDrive</v>
      </c>
    </row>
    <row r="156" spans="1:16" ht="15.75" customHeight="1" x14ac:dyDescent="0.3">
      <c r="A156" s="4" t="s">
        <v>161</v>
      </c>
      <c r="B156" s="4" t="s">
        <v>41</v>
      </c>
      <c r="C156" s="4" t="s">
        <v>162</v>
      </c>
      <c r="D156" s="4" t="s">
        <v>43</v>
      </c>
      <c r="E156" s="4" t="s">
        <v>44</v>
      </c>
      <c r="F156" s="4">
        <v>2946</v>
      </c>
      <c r="G156" s="4">
        <v>498</v>
      </c>
      <c r="H156" s="4">
        <v>367</v>
      </c>
      <c r="I156" s="4">
        <v>29460</v>
      </c>
      <c r="J156" s="4">
        <v>28527</v>
      </c>
      <c r="K156" s="4">
        <v>60</v>
      </c>
      <c r="L156" s="4" t="s">
        <v>60</v>
      </c>
      <c r="M156" s="4"/>
      <c r="N156">
        <v>1.0630280085533004</v>
      </c>
      <c r="P156" t="str">
        <f>IF(AND(C156 &gt;= 'Campaign Metadata'!B$2, C156 &lt;= 'Campaign Metadata'!C$2), 'Campaign Metadata'!A$2,
 IF(AND(C156 &gt;= 'Campaign Metadata'!B$3, C156 &lt;= 'Campaign Metadata'!C$3), 'Campaign Metadata'!A$3,
 IF(AND(C156 &gt;= 'Campaign Metadata'!B$4, C156 &lt;= 'Campaign Metadata'!C$4), 'Campaign Metadata'!A$4,
 IF(AND(C156 &gt;= 'Campaign Metadata'!B$5, C156 &lt;= 'Campaign Metadata'!C$5), 'Campaign Metadata'!A$5, "No Campaign"))))</f>
        <v>No Campaign</v>
      </c>
    </row>
    <row r="157" spans="1:16" ht="15.75" customHeight="1" x14ac:dyDescent="0.3">
      <c r="A157" s="4" t="s">
        <v>541</v>
      </c>
      <c r="B157" s="4" t="s">
        <v>41</v>
      </c>
      <c r="C157" s="4" t="s">
        <v>542</v>
      </c>
      <c r="D157" s="4" t="s">
        <v>21</v>
      </c>
      <c r="E157" s="4" t="s">
        <v>54</v>
      </c>
      <c r="F157" s="4">
        <v>2634</v>
      </c>
      <c r="G157" s="4">
        <v>726</v>
      </c>
      <c r="H157" s="4">
        <v>241</v>
      </c>
      <c r="I157" s="4">
        <v>28974</v>
      </c>
      <c r="J157" s="4">
        <v>28102</v>
      </c>
      <c r="K157" s="4">
        <v>277</v>
      </c>
      <c r="L157" s="4" t="s">
        <v>35</v>
      </c>
      <c r="M157" s="4"/>
      <c r="N157">
        <v>1.0654401821934383</v>
      </c>
      <c r="P157" t="str">
        <f>IF(AND(C157 &gt;= 'Campaign Metadata'!B$2, C157 &lt;= 'Campaign Metadata'!C$2), 'Campaign Metadata'!A$2,
 IF(AND(C157 &gt;= 'Campaign Metadata'!B$3, C157 &lt;= 'Campaign Metadata'!C$3), 'Campaign Metadata'!A$3,
 IF(AND(C157 &gt;= 'Campaign Metadata'!B$4, C157 &lt;= 'Campaign Metadata'!C$4), 'Campaign Metadata'!A$4,
 IF(AND(C157 &gt;= 'Campaign Metadata'!B$5, C157 &lt;= 'Campaign Metadata'!C$5), 'Campaign Metadata'!A$5, "No Campaign"))))</f>
        <v>No Campaign</v>
      </c>
    </row>
    <row r="158" spans="1:16" ht="15.75" customHeight="1" x14ac:dyDescent="0.3">
      <c r="A158" s="4" t="s">
        <v>325</v>
      </c>
      <c r="B158" s="4" t="s">
        <v>41</v>
      </c>
      <c r="C158" s="4" t="s">
        <v>326</v>
      </c>
      <c r="D158" s="4" t="s">
        <v>50</v>
      </c>
      <c r="E158" s="4" t="s">
        <v>57</v>
      </c>
      <c r="F158" s="4">
        <v>4804</v>
      </c>
      <c r="G158" s="4">
        <v>550</v>
      </c>
      <c r="H158" s="4">
        <v>270</v>
      </c>
      <c r="I158" s="4">
        <v>28824</v>
      </c>
      <c r="J158" s="4">
        <v>28370</v>
      </c>
      <c r="K158" s="4">
        <v>47</v>
      </c>
      <c r="L158" s="4" t="s">
        <v>35</v>
      </c>
      <c r="M158" s="4"/>
      <c r="N158">
        <v>1.0449065914698625</v>
      </c>
      <c r="P158" t="str">
        <f>IF(AND(C158 &gt;= 'Campaign Metadata'!B$2, C158 &lt;= 'Campaign Metadata'!C$2), 'Campaign Metadata'!A$2,
 IF(AND(C158 &gt;= 'Campaign Metadata'!B$3, C158 &lt;= 'Campaign Metadata'!C$3), 'Campaign Metadata'!A$3,
 IF(AND(C158 &gt;= 'Campaign Metadata'!B$4, C158 &lt;= 'Campaign Metadata'!C$4), 'Campaign Metadata'!A$4,
 IF(AND(C158 &gt;= 'Campaign Metadata'!B$5, C158 &lt;= 'Campaign Metadata'!C$5), 'Campaign Metadata'!A$5, "No Campaign"))))</f>
        <v>No Campaign</v>
      </c>
    </row>
    <row r="159" spans="1:16" ht="15.75" customHeight="1" x14ac:dyDescent="0.3">
      <c r="A159" s="4" t="s">
        <v>463</v>
      </c>
      <c r="B159" s="4" t="s">
        <v>41</v>
      </c>
      <c r="C159" s="4" t="s">
        <v>222</v>
      </c>
      <c r="D159" s="4" t="s">
        <v>16</v>
      </c>
      <c r="E159" s="4" t="s">
        <v>63</v>
      </c>
      <c r="F159" s="4">
        <v>4767</v>
      </c>
      <c r="G159" s="4">
        <v>190</v>
      </c>
      <c r="H159" s="4">
        <v>340</v>
      </c>
      <c r="I159" s="4">
        <v>28602</v>
      </c>
      <c r="J159" s="4">
        <v>28044</v>
      </c>
      <c r="K159" s="4">
        <v>210</v>
      </c>
      <c r="L159" s="4" t="s">
        <v>35</v>
      </c>
      <c r="M159" s="4"/>
      <c r="N159">
        <v>1.0387961774354586</v>
      </c>
      <c r="P159" t="str">
        <f>IF(AND(C159 &gt;= 'Campaign Metadata'!B$2, C159 &lt;= 'Campaign Metadata'!C$2), 'Campaign Metadata'!A$2,
 IF(AND(C159 &gt;= 'Campaign Metadata'!B$3, C159 &lt;= 'Campaign Metadata'!C$3), 'Campaign Metadata'!A$3,
 IF(AND(C159 &gt;= 'Campaign Metadata'!B$4, C159 &lt;= 'Campaign Metadata'!C$4), 'Campaign Metadata'!A$4,
 IF(AND(C159 &gt;= 'Campaign Metadata'!B$5, C159 &lt;= 'Campaign Metadata'!C$5), 'Campaign Metadata'!A$5, "No Campaign"))))</f>
        <v>CybertruckLaunch</v>
      </c>
    </row>
    <row r="160" spans="1:16" ht="15.75" customHeight="1" x14ac:dyDescent="0.3">
      <c r="A160" s="4" t="s">
        <v>543</v>
      </c>
      <c r="B160" s="4" t="s">
        <v>41</v>
      </c>
      <c r="C160" s="4" t="s">
        <v>544</v>
      </c>
      <c r="D160" s="4" t="s">
        <v>43</v>
      </c>
      <c r="E160" s="4" t="s">
        <v>44</v>
      </c>
      <c r="F160" s="4">
        <v>4731</v>
      </c>
      <c r="G160" s="4">
        <v>173</v>
      </c>
      <c r="H160" s="4">
        <v>276</v>
      </c>
      <c r="I160" s="4">
        <v>28386</v>
      </c>
      <c r="J160" s="4">
        <v>28185</v>
      </c>
      <c r="K160" s="4">
        <v>89</v>
      </c>
      <c r="L160" s="4" t="s">
        <v>35</v>
      </c>
      <c r="M160" s="4"/>
      <c r="N160">
        <v>1.0230619123647331</v>
      </c>
      <c r="P160" t="str">
        <f>IF(AND(C160 &gt;= 'Campaign Metadata'!B$2, C160 &lt;= 'Campaign Metadata'!C$2), 'Campaign Metadata'!A$2,
 IF(AND(C160 &gt;= 'Campaign Metadata'!B$3, C160 &lt;= 'Campaign Metadata'!C$3), 'Campaign Metadata'!A$3,
 IF(AND(C160 &gt;= 'Campaign Metadata'!B$4, C160 &lt;= 'Campaign Metadata'!C$4), 'Campaign Metadata'!A$4,
 IF(AND(C160 &gt;= 'Campaign Metadata'!B$5, C160 &lt;= 'Campaign Metadata'!C$5), 'Campaign Metadata'!A$5, "No Campaign"))))</f>
        <v>CybertruckLaunch</v>
      </c>
    </row>
    <row r="161" spans="1:16" ht="15.75" customHeight="1" x14ac:dyDescent="0.3">
      <c r="A161" s="4" t="s">
        <v>123</v>
      </c>
      <c r="B161" s="4" t="s">
        <v>599</v>
      </c>
      <c r="C161" s="4" t="s">
        <v>124</v>
      </c>
      <c r="D161" s="4" t="s">
        <v>16</v>
      </c>
      <c r="E161" s="4" t="s">
        <v>27</v>
      </c>
      <c r="F161" s="4">
        <v>3138</v>
      </c>
      <c r="G161" s="4">
        <v>123</v>
      </c>
      <c r="H161" s="4">
        <v>291</v>
      </c>
      <c r="I161" s="4">
        <v>28242</v>
      </c>
      <c r="J161" s="4">
        <v>27550</v>
      </c>
      <c r="K161" s="4">
        <v>87</v>
      </c>
      <c r="L161" s="4" t="s">
        <v>28</v>
      </c>
      <c r="M161" s="4"/>
      <c r="N161">
        <v>1.0401451905626133</v>
      </c>
      <c r="P161" t="str">
        <f>IF(AND(C161 &gt;= 'Campaign Metadata'!B$2, C161 &lt;= 'Campaign Metadata'!C$2), 'Campaign Metadata'!A$2,
 IF(AND(C161 &gt;= 'Campaign Metadata'!B$3, C161 &lt;= 'Campaign Metadata'!C$3), 'Campaign Metadata'!A$3,
 IF(AND(C161 &gt;= 'Campaign Metadata'!B$4, C161 &lt;= 'Campaign Metadata'!C$4), 'Campaign Metadata'!A$4,
 IF(AND(C161 &gt;= 'Campaign Metadata'!B$5, C161 &lt;= 'Campaign Metadata'!C$5), 'Campaign Metadata'!A$5, "No Campaign"))))</f>
        <v>No Campaign</v>
      </c>
    </row>
    <row r="162" spans="1:16" ht="15.75" customHeight="1" x14ac:dyDescent="0.3">
      <c r="A162" s="4" t="s">
        <v>147</v>
      </c>
      <c r="B162" s="4" t="s">
        <v>14</v>
      </c>
      <c r="C162" s="4" t="s">
        <v>148</v>
      </c>
      <c r="D162" s="4" t="s">
        <v>33</v>
      </c>
      <c r="E162" s="4" t="s">
        <v>146</v>
      </c>
      <c r="F162" s="4">
        <v>2164</v>
      </c>
      <c r="G162" s="4">
        <v>549</v>
      </c>
      <c r="H162" s="4">
        <v>274</v>
      </c>
      <c r="I162" s="4">
        <v>28132</v>
      </c>
      <c r="J162" s="4">
        <v>27361</v>
      </c>
      <c r="K162" s="4">
        <v>177</v>
      </c>
      <c r="L162" s="4" t="s">
        <v>28</v>
      </c>
      <c r="M162" s="4"/>
      <c r="N162">
        <v>1.0582581046014401</v>
      </c>
      <c r="P162" t="str">
        <f>IF(AND(C162 &gt;= 'Campaign Metadata'!B$2, C162 &lt;= 'Campaign Metadata'!C$2), 'Campaign Metadata'!A$2,
 IF(AND(C162 &gt;= 'Campaign Metadata'!B$3, C162 &lt;= 'Campaign Metadata'!C$3), 'Campaign Metadata'!A$3,
 IF(AND(C162 &gt;= 'Campaign Metadata'!B$4, C162 &lt;= 'Campaign Metadata'!C$4), 'Campaign Metadata'!A$4,
 IF(AND(C162 &gt;= 'Campaign Metadata'!B$5, C162 &lt;= 'Campaign Metadata'!C$5), 'Campaign Metadata'!A$5, "No Campaign"))))</f>
        <v>No Campaign</v>
      </c>
    </row>
    <row r="163" spans="1:16" ht="15.75" customHeight="1" x14ac:dyDescent="0.3">
      <c r="A163" s="4" t="s">
        <v>383</v>
      </c>
      <c r="B163" s="4" t="s">
        <v>14</v>
      </c>
      <c r="C163" s="4" t="s">
        <v>384</v>
      </c>
      <c r="D163" s="4" t="s">
        <v>16</v>
      </c>
      <c r="E163" s="4" t="s">
        <v>17</v>
      </c>
      <c r="F163" s="4">
        <v>1644</v>
      </c>
      <c r="G163" s="4">
        <v>546</v>
      </c>
      <c r="H163" s="4">
        <v>150</v>
      </c>
      <c r="I163" s="4">
        <v>27948</v>
      </c>
      <c r="J163" s="4">
        <v>27184</v>
      </c>
      <c r="K163" s="4">
        <v>300</v>
      </c>
      <c r="L163" s="4" t="s">
        <v>35</v>
      </c>
      <c r="M163" s="4"/>
      <c r="N163">
        <v>1.0537080635668039</v>
      </c>
      <c r="P163" t="str">
        <f>IF(AND(C163 &gt;= 'Campaign Metadata'!B$2, C163 &lt;= 'Campaign Metadata'!C$2), 'Campaign Metadata'!A$2,
 IF(AND(C163 &gt;= 'Campaign Metadata'!B$3, C163 &lt;= 'Campaign Metadata'!C$3), 'Campaign Metadata'!A$3,
 IF(AND(C163 &gt;= 'Campaign Metadata'!B$4, C163 &lt;= 'Campaign Metadata'!C$4), 'Campaign Metadata'!A$4,
 IF(AND(C163 &gt;= 'Campaign Metadata'!B$5, C163 &lt;= 'Campaign Metadata'!C$5), 'Campaign Metadata'!A$5, "No Campaign"))))</f>
        <v>No Campaign</v>
      </c>
    </row>
    <row r="164" spans="1:16" ht="15.75" customHeight="1" x14ac:dyDescent="0.3">
      <c r="A164" s="4" t="s">
        <v>290</v>
      </c>
      <c r="B164" s="4" t="s">
        <v>14</v>
      </c>
      <c r="C164" s="4" t="s">
        <v>224</v>
      </c>
      <c r="D164" s="4" t="s">
        <v>50</v>
      </c>
      <c r="E164" s="4" t="s">
        <v>129</v>
      </c>
      <c r="F164" s="4">
        <v>3092</v>
      </c>
      <c r="G164" s="4">
        <v>106</v>
      </c>
      <c r="H164" s="4">
        <v>291</v>
      </c>
      <c r="I164" s="4">
        <v>27828</v>
      </c>
      <c r="J164" s="4">
        <v>27217</v>
      </c>
      <c r="K164" s="4">
        <v>102</v>
      </c>
      <c r="L164" s="4" t="s">
        <v>60</v>
      </c>
      <c r="N164">
        <v>1.037035676231767</v>
      </c>
      <c r="P164" t="str">
        <f>IF(AND(C164 &gt;= 'Campaign Metadata'!B$2, C164 &lt;= 'Campaign Metadata'!C$2), 'Campaign Metadata'!A$2,
 IF(AND(C164 &gt;= 'Campaign Metadata'!B$3, C164 &lt;= 'Campaign Metadata'!C$3), 'Campaign Metadata'!A$3,
 IF(AND(C164 &gt;= 'Campaign Metadata'!B$4, C164 &lt;= 'Campaign Metadata'!C$4), 'Campaign Metadata'!A$4,
 IF(AND(C164 &gt;= 'Campaign Metadata'!B$5, C164 &lt;= 'Campaign Metadata'!C$5), 'Campaign Metadata'!A$5, "No Campaign"))))</f>
        <v>FSDUpdate</v>
      </c>
    </row>
    <row r="165" spans="1:16" ht="15.75" customHeight="1" x14ac:dyDescent="0.3">
      <c r="A165" s="4" t="s">
        <v>318</v>
      </c>
      <c r="B165" s="4" t="s">
        <v>31</v>
      </c>
      <c r="C165" s="4" t="s">
        <v>164</v>
      </c>
      <c r="D165" s="4" t="s">
        <v>16</v>
      </c>
      <c r="E165" s="4" t="s">
        <v>80</v>
      </c>
      <c r="F165" s="4">
        <v>3256</v>
      </c>
      <c r="G165" s="4">
        <v>459</v>
      </c>
      <c r="H165" s="4">
        <v>266</v>
      </c>
      <c r="I165" s="4">
        <v>26048</v>
      </c>
      <c r="J165" s="4">
        <v>25529</v>
      </c>
      <c r="K165" s="4">
        <v>143</v>
      </c>
      <c r="L165" s="4" t="s">
        <v>28</v>
      </c>
      <c r="M165" s="4"/>
      <c r="N165">
        <v>1.0487288965490227</v>
      </c>
      <c r="P165" t="str">
        <f>IF(AND(C165 &gt;= 'Campaign Metadata'!B$2, C165 &lt;= 'Campaign Metadata'!C$2), 'Campaign Metadata'!A$2,
 IF(AND(C165 &gt;= 'Campaign Metadata'!B$3, C165 &lt;= 'Campaign Metadata'!C$3), 'Campaign Metadata'!A$3,
 IF(AND(C165 &gt;= 'Campaign Metadata'!B$4, C165 &lt;= 'Campaign Metadata'!C$4), 'Campaign Metadata'!A$4,
 IF(AND(C165 &gt;= 'Campaign Metadata'!B$5, C165 &lt;= 'Campaign Metadata'!C$5), 'Campaign Metadata'!A$5, "No Campaign"))))</f>
        <v>ModelYCampaign</v>
      </c>
    </row>
    <row r="166" spans="1:16" ht="15.75" customHeight="1" x14ac:dyDescent="0.3">
      <c r="A166" s="4" t="s">
        <v>273</v>
      </c>
      <c r="B166" s="4" t="s">
        <v>599</v>
      </c>
      <c r="C166" s="4" t="s">
        <v>274</v>
      </c>
      <c r="D166" s="4" t="s">
        <v>16</v>
      </c>
      <c r="E166" s="4" t="s">
        <v>27</v>
      </c>
      <c r="F166" s="4">
        <v>3704</v>
      </c>
      <c r="G166" s="4">
        <v>186</v>
      </c>
      <c r="H166" s="4">
        <v>458</v>
      </c>
      <c r="I166" s="4">
        <v>25928</v>
      </c>
      <c r="J166" s="4">
        <v>25081</v>
      </c>
      <c r="K166" s="4">
        <v>131</v>
      </c>
      <c r="L166" s="4" t="s">
        <v>28</v>
      </c>
      <c r="N166">
        <v>1.059447390454926</v>
      </c>
      <c r="P166" t="str">
        <f>IF(AND(C166 &gt;= 'Campaign Metadata'!B$2, C166 &lt;= 'Campaign Metadata'!C$2), 'Campaign Metadata'!A$2,
 IF(AND(C166 &gt;= 'Campaign Metadata'!B$3, C166 &lt;= 'Campaign Metadata'!C$3), 'Campaign Metadata'!A$3,
 IF(AND(C166 &gt;= 'Campaign Metadata'!B$4, C166 &lt;= 'Campaign Metadata'!C$4), 'Campaign Metadata'!A$4,
 IF(AND(C166 &gt;= 'Campaign Metadata'!B$5, C166 &lt;= 'Campaign Metadata'!C$5), 'Campaign Metadata'!A$5, "No Campaign"))))</f>
        <v>SustainabilityDrive</v>
      </c>
    </row>
    <row r="167" spans="1:16" ht="15.75" customHeight="1" x14ac:dyDescent="0.3">
      <c r="A167" s="4" t="s">
        <v>186</v>
      </c>
      <c r="B167" s="4" t="s">
        <v>14</v>
      </c>
      <c r="C167" s="4" t="s">
        <v>131</v>
      </c>
      <c r="D167" s="4" t="s">
        <v>21</v>
      </c>
      <c r="E167" s="4" t="s">
        <v>22</v>
      </c>
      <c r="F167" s="4">
        <v>1292</v>
      </c>
      <c r="G167" s="4">
        <v>626</v>
      </c>
      <c r="H167" s="4">
        <v>496</v>
      </c>
      <c r="I167" s="4">
        <v>25840</v>
      </c>
      <c r="J167" s="4">
        <v>24916</v>
      </c>
      <c r="K167" s="4">
        <v>149</v>
      </c>
      <c r="L167" s="4" t="s">
        <v>60</v>
      </c>
      <c r="M167" s="4"/>
      <c r="N167">
        <v>1.0821159094557713</v>
      </c>
      <c r="P167" t="str">
        <f>IF(AND(C167 &gt;= 'Campaign Metadata'!B$2, C167 &lt;= 'Campaign Metadata'!C$2), 'Campaign Metadata'!A$2,
 IF(AND(C167 &gt;= 'Campaign Metadata'!B$3, C167 &lt;= 'Campaign Metadata'!C$3), 'Campaign Metadata'!A$3,
 IF(AND(C167 &gt;= 'Campaign Metadata'!B$4, C167 &lt;= 'Campaign Metadata'!C$4), 'Campaign Metadata'!A$4,
 IF(AND(C167 &gt;= 'Campaign Metadata'!B$5, C167 &lt;= 'Campaign Metadata'!C$5), 'Campaign Metadata'!A$5, "No Campaign"))))</f>
        <v>SustainabilityDrive</v>
      </c>
    </row>
    <row r="168" spans="1:16" ht="15.75" customHeight="1" x14ac:dyDescent="0.3">
      <c r="A168" s="4" t="s">
        <v>259</v>
      </c>
      <c r="B168" s="4" t="s">
        <v>14</v>
      </c>
      <c r="C168" s="4" t="s">
        <v>260</v>
      </c>
      <c r="D168" s="4" t="s">
        <v>33</v>
      </c>
      <c r="E168" s="4" t="s">
        <v>146</v>
      </c>
      <c r="F168" s="4">
        <v>3649</v>
      </c>
      <c r="G168" s="4">
        <v>215</v>
      </c>
      <c r="H168" s="4">
        <v>413</v>
      </c>
      <c r="I168" s="4">
        <v>25543</v>
      </c>
      <c r="J168" s="4">
        <v>24963</v>
      </c>
      <c r="K168" s="4">
        <v>167</v>
      </c>
      <c r="L168" s="4" t="s">
        <v>60</v>
      </c>
      <c r="M168" s="4"/>
      <c r="N168">
        <v>1.0483916195970036</v>
      </c>
      <c r="P168" t="str">
        <f>IF(AND(C168 &gt;= 'Campaign Metadata'!B$2, C168 &lt;= 'Campaign Metadata'!C$2), 'Campaign Metadata'!A$2,
 IF(AND(C168 &gt;= 'Campaign Metadata'!B$3, C168 &lt;= 'Campaign Metadata'!C$3), 'Campaign Metadata'!A$3,
 IF(AND(C168 &gt;= 'Campaign Metadata'!B$4, C168 &lt;= 'Campaign Metadata'!C$4), 'Campaign Metadata'!A$4,
 IF(AND(C168 &gt;= 'Campaign Metadata'!B$5, C168 &lt;= 'Campaign Metadata'!C$5), 'Campaign Metadata'!A$5, "No Campaign"))))</f>
        <v>No Campaign</v>
      </c>
    </row>
    <row r="169" spans="1:16" ht="15.75" customHeight="1" x14ac:dyDescent="0.3">
      <c r="A169" s="4" t="s">
        <v>434</v>
      </c>
      <c r="B169" s="4" t="s">
        <v>41</v>
      </c>
      <c r="C169" s="4" t="s">
        <v>435</v>
      </c>
      <c r="D169" s="4" t="s">
        <v>16</v>
      </c>
      <c r="E169" s="4" t="s">
        <v>63</v>
      </c>
      <c r="F169" s="4">
        <v>1814</v>
      </c>
      <c r="G169" s="4">
        <v>653</v>
      </c>
      <c r="H169" s="4">
        <v>363</v>
      </c>
      <c r="I169" s="4">
        <v>25396</v>
      </c>
      <c r="J169" s="4">
        <v>25286</v>
      </c>
      <c r="K169" s="4">
        <v>39</v>
      </c>
      <c r="L169" s="4" t="s">
        <v>60</v>
      </c>
      <c r="M169" s="4" t="s">
        <v>593</v>
      </c>
      <c r="N169">
        <v>1.0445305702760421</v>
      </c>
      <c r="P169" t="str">
        <f>IF(AND(C169 &gt;= 'Campaign Metadata'!B$2, C169 &lt;= 'Campaign Metadata'!C$2), 'Campaign Metadata'!A$2,
 IF(AND(C169 &gt;= 'Campaign Metadata'!B$3, C169 &lt;= 'Campaign Metadata'!C$3), 'Campaign Metadata'!A$3,
 IF(AND(C169 &gt;= 'Campaign Metadata'!B$4, C169 &lt;= 'Campaign Metadata'!C$4), 'Campaign Metadata'!A$4,
 IF(AND(C169 &gt;= 'Campaign Metadata'!B$5, C169 &lt;= 'Campaign Metadata'!C$5), 'Campaign Metadata'!A$5, "No Campaign"))))</f>
        <v>ModelYCampaign</v>
      </c>
    </row>
    <row r="170" spans="1:16" ht="15.75" customHeight="1" x14ac:dyDescent="0.3">
      <c r="A170" s="4" t="s">
        <v>227</v>
      </c>
      <c r="B170" s="4" t="s">
        <v>41</v>
      </c>
      <c r="C170" s="4" t="s">
        <v>228</v>
      </c>
      <c r="D170" s="4" t="s">
        <v>50</v>
      </c>
      <c r="E170" s="4" t="s">
        <v>57</v>
      </c>
      <c r="F170" s="4">
        <v>1263</v>
      </c>
      <c r="G170" s="4">
        <v>397</v>
      </c>
      <c r="H170" s="4">
        <v>357</v>
      </c>
      <c r="I170" s="4">
        <v>25260</v>
      </c>
      <c r="J170" s="4">
        <v>24615</v>
      </c>
      <c r="K170" s="4">
        <v>137</v>
      </c>
      <c r="L170" s="4" t="s">
        <v>35</v>
      </c>
      <c r="M170" s="4"/>
      <c r="N170">
        <v>1.0568352630509852</v>
      </c>
      <c r="P170" t="str">
        <f>IF(AND(C170 &gt;= 'Campaign Metadata'!B$2, C170 &lt;= 'Campaign Metadata'!C$2), 'Campaign Metadata'!A$2,
 IF(AND(C170 &gt;= 'Campaign Metadata'!B$3, C170 &lt;= 'Campaign Metadata'!C$3), 'Campaign Metadata'!A$3,
 IF(AND(C170 &gt;= 'Campaign Metadata'!B$4, C170 &lt;= 'Campaign Metadata'!C$4), 'Campaign Metadata'!A$4,
 IF(AND(C170 &gt;= 'Campaign Metadata'!B$5, C170 &lt;= 'Campaign Metadata'!C$5), 'Campaign Metadata'!A$5, "No Campaign"))))</f>
        <v>SustainabilityDrive</v>
      </c>
    </row>
    <row r="171" spans="1:16" ht="15.75" customHeight="1" x14ac:dyDescent="0.3">
      <c r="A171" s="4" t="s">
        <v>239</v>
      </c>
      <c r="B171" s="4" t="s">
        <v>14</v>
      </c>
      <c r="C171" s="4" t="s">
        <v>148</v>
      </c>
      <c r="D171" s="4" t="s">
        <v>33</v>
      </c>
      <c r="E171" s="4" t="s">
        <v>146</v>
      </c>
      <c r="F171" s="4">
        <v>1575</v>
      </c>
      <c r="G171" s="4">
        <v>771</v>
      </c>
      <c r="H171" s="4">
        <v>486</v>
      </c>
      <c r="I171" s="4">
        <v>25200</v>
      </c>
      <c r="J171" s="4">
        <v>24826</v>
      </c>
      <c r="K171" s="4">
        <v>17</v>
      </c>
      <c r="L171" s="4" t="s">
        <v>60</v>
      </c>
      <c r="M171" s="4"/>
      <c r="N171">
        <v>1.065697252880045</v>
      </c>
      <c r="P171" t="str">
        <f>IF(AND(C171 &gt;= 'Campaign Metadata'!B$2, C171 &lt;= 'Campaign Metadata'!C$2), 'Campaign Metadata'!A$2,
 IF(AND(C171 &gt;= 'Campaign Metadata'!B$3, C171 &lt;= 'Campaign Metadata'!C$3), 'Campaign Metadata'!A$3,
 IF(AND(C171 &gt;= 'Campaign Metadata'!B$4, C171 &lt;= 'Campaign Metadata'!C$4), 'Campaign Metadata'!A$4,
 IF(AND(C171 &gt;= 'Campaign Metadata'!B$5, C171 &lt;= 'Campaign Metadata'!C$5), 'Campaign Metadata'!A$5, "No Campaign"))))</f>
        <v>No Campaign</v>
      </c>
    </row>
    <row r="172" spans="1:16" ht="15.75" customHeight="1" x14ac:dyDescent="0.3">
      <c r="A172" s="4" t="s">
        <v>89</v>
      </c>
      <c r="B172" s="4" t="s">
        <v>41</v>
      </c>
      <c r="C172" s="4" t="s">
        <v>90</v>
      </c>
      <c r="D172" s="4" t="s">
        <v>21</v>
      </c>
      <c r="E172" s="4" t="s">
        <v>54</v>
      </c>
      <c r="F172" s="4">
        <v>1570</v>
      </c>
      <c r="G172" s="4">
        <v>187</v>
      </c>
      <c r="H172" s="4">
        <v>260</v>
      </c>
      <c r="I172" s="4">
        <v>25120</v>
      </c>
      <c r="J172" s="4">
        <v>24613</v>
      </c>
      <c r="K172" s="4">
        <v>133</v>
      </c>
      <c r="L172" s="4" t="s">
        <v>28</v>
      </c>
      <c r="M172" s="4"/>
      <c r="N172">
        <v>1.0387600048754724</v>
      </c>
      <c r="P172" t="str">
        <f>IF(AND(C172 &gt;= 'Campaign Metadata'!B$2, C172 &lt;= 'Campaign Metadata'!C$2), 'Campaign Metadata'!A$2,
 IF(AND(C172 &gt;= 'Campaign Metadata'!B$3, C172 &lt;= 'Campaign Metadata'!C$3), 'Campaign Metadata'!A$3,
 IF(AND(C172 &gt;= 'Campaign Metadata'!B$4, C172 &lt;= 'Campaign Metadata'!C$4), 'Campaign Metadata'!A$4,
 IF(AND(C172 &gt;= 'Campaign Metadata'!B$5, C172 &lt;= 'Campaign Metadata'!C$5), 'Campaign Metadata'!A$5, "No Campaign"))))</f>
        <v>No Campaign</v>
      </c>
    </row>
    <row r="173" spans="1:16" ht="15.75" customHeight="1" x14ac:dyDescent="0.3">
      <c r="A173" s="4" t="s">
        <v>58</v>
      </c>
      <c r="B173" s="4" t="s">
        <v>31</v>
      </c>
      <c r="C173" s="4" t="s">
        <v>59</v>
      </c>
      <c r="D173" s="4" t="s">
        <v>33</v>
      </c>
      <c r="E173" s="4" t="s">
        <v>34</v>
      </c>
      <c r="F173" s="4">
        <v>1792</v>
      </c>
      <c r="G173" s="4">
        <v>614</v>
      </c>
      <c r="H173" s="4">
        <v>497</v>
      </c>
      <c r="I173" s="4">
        <v>25088</v>
      </c>
      <c r="J173" s="4">
        <v>24675</v>
      </c>
      <c r="K173" s="4">
        <v>65</v>
      </c>
      <c r="L173" s="4" t="s">
        <v>60</v>
      </c>
      <c r="M173" s="4"/>
      <c r="N173">
        <v>1.0617629179331307</v>
      </c>
      <c r="P173" t="str">
        <f>IF(AND(C173 &gt;= 'Campaign Metadata'!B$2, C173 &lt;= 'Campaign Metadata'!C$2), 'Campaign Metadata'!A$2,
 IF(AND(C173 &gt;= 'Campaign Metadata'!B$3, C173 &lt;= 'Campaign Metadata'!C$3), 'Campaign Metadata'!A$3,
 IF(AND(C173 &gt;= 'Campaign Metadata'!B$4, C173 &lt;= 'Campaign Metadata'!C$4), 'Campaign Metadata'!A$4,
 IF(AND(C173 &gt;= 'Campaign Metadata'!B$5, C173 &lt;= 'Campaign Metadata'!C$5), 'Campaign Metadata'!A$5, "No Campaign"))))</f>
        <v>No Campaign</v>
      </c>
    </row>
    <row r="174" spans="1:16" ht="15.75" customHeight="1" x14ac:dyDescent="0.3">
      <c r="A174" s="4" t="s">
        <v>216</v>
      </c>
      <c r="B174" s="4" t="s">
        <v>31</v>
      </c>
      <c r="C174" s="4" t="s">
        <v>120</v>
      </c>
      <c r="D174" s="4" t="s">
        <v>50</v>
      </c>
      <c r="E174" s="4" t="s">
        <v>210</v>
      </c>
      <c r="F174" s="4">
        <v>4177</v>
      </c>
      <c r="G174" s="4">
        <v>569</v>
      </c>
      <c r="H174" s="4">
        <v>55</v>
      </c>
      <c r="I174" s="4">
        <v>25062</v>
      </c>
      <c r="J174" s="4">
        <v>24847</v>
      </c>
      <c r="K174" s="4">
        <v>230</v>
      </c>
      <c r="L174" s="4" t="s">
        <v>60</v>
      </c>
      <c r="M174" s="4"/>
      <c r="N174">
        <v>1.0337666519096873</v>
      </c>
      <c r="P174" t="str">
        <f>IF(AND(C174 &gt;= 'Campaign Metadata'!B$2, C174 &lt;= 'Campaign Metadata'!C$2), 'Campaign Metadata'!A$2,
 IF(AND(C174 &gt;= 'Campaign Metadata'!B$3, C174 &lt;= 'Campaign Metadata'!C$3), 'Campaign Metadata'!A$3,
 IF(AND(C174 &gt;= 'Campaign Metadata'!B$4, C174 &lt;= 'Campaign Metadata'!C$4), 'Campaign Metadata'!A$4,
 IF(AND(C174 &gt;= 'Campaign Metadata'!B$5, C174 &lt;= 'Campaign Metadata'!C$5), 'Campaign Metadata'!A$5, "No Campaign"))))</f>
        <v>No Campaign</v>
      </c>
    </row>
    <row r="175" spans="1:16" ht="15.75" customHeight="1" x14ac:dyDescent="0.3">
      <c r="A175" s="4" t="s">
        <v>319</v>
      </c>
      <c r="B175" s="4" t="s">
        <v>31</v>
      </c>
      <c r="C175" s="4" t="s">
        <v>166</v>
      </c>
      <c r="D175" s="4" t="s">
        <v>72</v>
      </c>
      <c r="E175" s="4" t="s">
        <v>83</v>
      </c>
      <c r="F175" s="4">
        <v>4133</v>
      </c>
      <c r="G175" s="4">
        <v>466</v>
      </c>
      <c r="H175" s="4">
        <v>327</v>
      </c>
      <c r="I175" s="4">
        <v>24798</v>
      </c>
      <c r="J175" s="4">
        <v>24620</v>
      </c>
      <c r="K175" s="4">
        <v>176</v>
      </c>
      <c r="L175" s="4" t="s">
        <v>35</v>
      </c>
      <c r="M175" s="4"/>
      <c r="N175">
        <v>1.0394394800974818</v>
      </c>
      <c r="P175" t="str">
        <f>IF(AND(C175 &gt;= 'Campaign Metadata'!B$2, C175 &lt;= 'Campaign Metadata'!C$2), 'Campaign Metadata'!A$2,
 IF(AND(C175 &gt;= 'Campaign Metadata'!B$3, C175 &lt;= 'Campaign Metadata'!C$3), 'Campaign Metadata'!A$3,
 IF(AND(C175 &gt;= 'Campaign Metadata'!B$4, C175 &lt;= 'Campaign Metadata'!C$4), 'Campaign Metadata'!A$4,
 IF(AND(C175 &gt;= 'Campaign Metadata'!B$5, C175 &lt;= 'Campaign Metadata'!C$5), 'Campaign Metadata'!A$5, "No Campaign"))))</f>
        <v>No Campaign</v>
      </c>
    </row>
    <row r="176" spans="1:16" ht="15.75" customHeight="1" x14ac:dyDescent="0.3">
      <c r="A176" s="4" t="s">
        <v>242</v>
      </c>
      <c r="B176" s="4" t="s">
        <v>599</v>
      </c>
      <c r="C176" s="4" t="s">
        <v>243</v>
      </c>
      <c r="D176" s="4" t="s">
        <v>72</v>
      </c>
      <c r="E176" s="4" t="s">
        <v>213</v>
      </c>
      <c r="F176" s="4">
        <v>1766</v>
      </c>
      <c r="G176" s="4">
        <v>92</v>
      </c>
      <c r="H176" s="4">
        <v>424</v>
      </c>
      <c r="I176" s="4">
        <v>24724</v>
      </c>
      <c r="J176" s="4">
        <v>24333</v>
      </c>
      <c r="K176" s="4">
        <v>52</v>
      </c>
      <c r="L176" s="4" t="s">
        <v>35</v>
      </c>
      <c r="N176">
        <v>1.0372744832120988</v>
      </c>
      <c r="P176" t="str">
        <f>IF(AND(C176 &gt;= 'Campaign Metadata'!B$2, C176 &lt;= 'Campaign Metadata'!C$2), 'Campaign Metadata'!A$2,
 IF(AND(C176 &gt;= 'Campaign Metadata'!B$3, C176 &lt;= 'Campaign Metadata'!C$3), 'Campaign Metadata'!A$3,
 IF(AND(C176 &gt;= 'Campaign Metadata'!B$4, C176 &lt;= 'Campaign Metadata'!C$4), 'Campaign Metadata'!A$4,
 IF(AND(C176 &gt;= 'Campaign Metadata'!B$5, C176 &lt;= 'Campaign Metadata'!C$5), 'Campaign Metadata'!A$5, "No Campaign"))))</f>
        <v>No Campaign</v>
      </c>
    </row>
    <row r="177" spans="1:16" ht="15.75" customHeight="1" x14ac:dyDescent="0.3">
      <c r="A177" s="4" t="s">
        <v>121</v>
      </c>
      <c r="B177" s="4" t="s">
        <v>41</v>
      </c>
      <c r="C177" s="4" t="s">
        <v>122</v>
      </c>
      <c r="D177" s="4" t="s">
        <v>43</v>
      </c>
      <c r="E177" s="4" t="s">
        <v>44</v>
      </c>
      <c r="F177" s="4">
        <v>3024</v>
      </c>
      <c r="G177" s="4">
        <v>925</v>
      </c>
      <c r="H177" s="4">
        <v>350</v>
      </c>
      <c r="I177" s="4">
        <v>24192</v>
      </c>
      <c r="J177" s="4">
        <v>23518</v>
      </c>
      <c r="K177" s="4">
        <v>36</v>
      </c>
      <c r="L177" s="4" t="s">
        <v>35</v>
      </c>
      <c r="M177" s="4"/>
      <c r="N177">
        <v>1.0828726932562294</v>
      </c>
      <c r="P177" t="str">
        <f>IF(AND(C177 &gt;= 'Campaign Metadata'!B$2, C177 &lt;= 'Campaign Metadata'!C$2), 'Campaign Metadata'!A$2,
 IF(AND(C177 &gt;= 'Campaign Metadata'!B$3, C177 &lt;= 'Campaign Metadata'!C$3), 'Campaign Metadata'!A$3,
 IF(AND(C177 &gt;= 'Campaign Metadata'!B$4, C177 &lt;= 'Campaign Metadata'!C$4), 'Campaign Metadata'!A$4,
 IF(AND(C177 &gt;= 'Campaign Metadata'!B$5, C177 &lt;= 'Campaign Metadata'!C$5), 'Campaign Metadata'!A$5, "No Campaign"))))</f>
        <v>FSDUpdate</v>
      </c>
    </row>
    <row r="178" spans="1:16" ht="15.75" customHeight="1" x14ac:dyDescent="0.3">
      <c r="A178" s="4" t="s">
        <v>452</v>
      </c>
      <c r="B178" s="4" t="s">
        <v>41</v>
      </c>
      <c r="C178" s="4" t="s">
        <v>453</v>
      </c>
      <c r="D178" s="4" t="s">
        <v>21</v>
      </c>
      <c r="E178" s="4" t="s">
        <v>54</v>
      </c>
      <c r="F178" s="4">
        <v>1272</v>
      </c>
      <c r="G178" s="4">
        <v>465</v>
      </c>
      <c r="H178" s="4">
        <v>99</v>
      </c>
      <c r="I178" s="4">
        <v>24168</v>
      </c>
      <c r="J178" s="4">
        <v>23719</v>
      </c>
      <c r="K178" s="4">
        <v>42</v>
      </c>
      <c r="L178" s="4" t="s">
        <v>28</v>
      </c>
      <c r="N178">
        <v>1.0427083772503056</v>
      </c>
      <c r="P178" t="str">
        <f>IF(AND(C178 &gt;= 'Campaign Metadata'!B$2, C178 &lt;= 'Campaign Metadata'!C$2), 'Campaign Metadata'!A$2,
 IF(AND(C178 &gt;= 'Campaign Metadata'!B$3, C178 &lt;= 'Campaign Metadata'!C$3), 'Campaign Metadata'!A$3,
 IF(AND(C178 &gt;= 'Campaign Metadata'!B$4, C178 &lt;= 'Campaign Metadata'!C$4), 'Campaign Metadata'!A$4,
 IF(AND(C178 &gt;= 'Campaign Metadata'!B$5, C178 &lt;= 'Campaign Metadata'!C$5), 'Campaign Metadata'!A$5, "No Campaign"))))</f>
        <v>No Campaign</v>
      </c>
    </row>
    <row r="179" spans="1:16" ht="15.75" customHeight="1" x14ac:dyDescent="0.3">
      <c r="A179" s="4" t="s">
        <v>40</v>
      </c>
      <c r="B179" s="4" t="s">
        <v>41</v>
      </c>
      <c r="C179" s="4" t="s">
        <v>42</v>
      </c>
      <c r="D179" s="4" t="s">
        <v>43</v>
      </c>
      <c r="E179" s="4" t="s">
        <v>44</v>
      </c>
      <c r="F179" s="4">
        <v>2945</v>
      </c>
      <c r="G179" s="4">
        <v>930</v>
      </c>
      <c r="H179" s="4">
        <v>355</v>
      </c>
      <c r="I179" s="4">
        <v>23560</v>
      </c>
      <c r="J179" s="4">
        <v>23275</v>
      </c>
      <c r="K179" s="4">
        <v>256</v>
      </c>
      <c r="L179" s="4" t="s">
        <v>28</v>
      </c>
      <c r="M179" s="4"/>
      <c r="N179">
        <v>1.0674543501611171</v>
      </c>
      <c r="P179" t="str">
        <f>IF(AND(C179 &gt;= 'Campaign Metadata'!B$2, C179 &lt;= 'Campaign Metadata'!C$2), 'Campaign Metadata'!A$2,
 IF(AND(C179 &gt;= 'Campaign Metadata'!B$3, C179 &lt;= 'Campaign Metadata'!C$3), 'Campaign Metadata'!A$3,
 IF(AND(C179 &gt;= 'Campaign Metadata'!B$4, C179 &lt;= 'Campaign Metadata'!C$4), 'Campaign Metadata'!A$4,
 IF(AND(C179 &gt;= 'Campaign Metadata'!B$5, C179 &lt;= 'Campaign Metadata'!C$5), 'Campaign Metadata'!A$5, "No Campaign"))))</f>
        <v>ModelYCampaign</v>
      </c>
    </row>
    <row r="180" spans="1:16" ht="15.75" customHeight="1" x14ac:dyDescent="0.3">
      <c r="A180" s="4" t="s">
        <v>61</v>
      </c>
      <c r="B180" s="4" t="s">
        <v>41</v>
      </c>
      <c r="C180" s="4" t="s">
        <v>62</v>
      </c>
      <c r="D180" s="4" t="s">
        <v>16</v>
      </c>
      <c r="E180" s="4" t="s">
        <v>63</v>
      </c>
      <c r="F180" s="4">
        <v>1946</v>
      </c>
      <c r="G180" s="4">
        <v>686</v>
      </c>
      <c r="H180" s="4">
        <v>377</v>
      </c>
      <c r="I180" s="4">
        <v>23352</v>
      </c>
      <c r="J180" s="4">
        <v>22982</v>
      </c>
      <c r="K180" s="4">
        <v>213</v>
      </c>
      <c r="L180" s="4" t="s">
        <v>60</v>
      </c>
      <c r="M180" s="4"/>
      <c r="N180">
        <v>1.0623531459403011</v>
      </c>
      <c r="P180" t="str">
        <f>IF(AND(C180 &gt;= 'Campaign Metadata'!B$2, C180 &lt;= 'Campaign Metadata'!C$2), 'Campaign Metadata'!A$2,
 IF(AND(C180 &gt;= 'Campaign Metadata'!B$3, C180 &lt;= 'Campaign Metadata'!C$3), 'Campaign Metadata'!A$3,
 IF(AND(C180 &gt;= 'Campaign Metadata'!B$4, C180 &lt;= 'Campaign Metadata'!C$4), 'Campaign Metadata'!A$4,
 IF(AND(C180 &gt;= 'Campaign Metadata'!B$5, C180 &lt;= 'Campaign Metadata'!C$5), 'Campaign Metadata'!A$5, "No Campaign"))))</f>
        <v>No Campaign</v>
      </c>
    </row>
    <row r="181" spans="1:16" ht="15.75" customHeight="1" x14ac:dyDescent="0.3">
      <c r="A181" s="4" t="s">
        <v>466</v>
      </c>
      <c r="B181" s="4" t="s">
        <v>599</v>
      </c>
      <c r="C181" s="4" t="s">
        <v>467</v>
      </c>
      <c r="D181" s="4" t="s">
        <v>72</v>
      </c>
      <c r="E181" s="4" t="s">
        <v>213</v>
      </c>
      <c r="F181" s="4">
        <v>4661</v>
      </c>
      <c r="G181" s="4">
        <v>935</v>
      </c>
      <c r="H181" s="4">
        <v>433</v>
      </c>
      <c r="I181" s="4">
        <v>23305</v>
      </c>
      <c r="J181" s="4">
        <v>22583</v>
      </c>
      <c r="K181" s="4">
        <v>63</v>
      </c>
      <c r="L181" s="4" t="s">
        <v>60</v>
      </c>
      <c r="M181" s="4"/>
      <c r="N181">
        <v>1.092547491475889</v>
      </c>
      <c r="P181" t="str">
        <f>IF(AND(C181 &gt;= 'Campaign Metadata'!B$2, C181 &lt;= 'Campaign Metadata'!C$2), 'Campaign Metadata'!A$2,
 IF(AND(C181 &gt;= 'Campaign Metadata'!B$3, C181 &lt;= 'Campaign Metadata'!C$3), 'Campaign Metadata'!A$3,
 IF(AND(C181 &gt;= 'Campaign Metadata'!B$4, C181 &lt;= 'Campaign Metadata'!C$4), 'Campaign Metadata'!A$4,
 IF(AND(C181 &gt;= 'Campaign Metadata'!B$5, C181 &lt;= 'Campaign Metadata'!C$5), 'Campaign Metadata'!A$5, "No Campaign"))))</f>
        <v>ModelYCampaign</v>
      </c>
    </row>
    <row r="182" spans="1:16" ht="15.75" customHeight="1" x14ac:dyDescent="0.3">
      <c r="A182" s="4" t="s">
        <v>551</v>
      </c>
      <c r="B182" s="4" t="s">
        <v>41</v>
      </c>
      <c r="C182" s="4" t="s">
        <v>75</v>
      </c>
      <c r="D182" s="4" t="s">
        <v>50</v>
      </c>
      <c r="E182" s="4" t="s">
        <v>57</v>
      </c>
      <c r="F182" s="4">
        <v>2581</v>
      </c>
      <c r="G182" s="4">
        <v>517</v>
      </c>
      <c r="H182" s="4">
        <v>117</v>
      </c>
      <c r="I182" s="4">
        <v>23229</v>
      </c>
      <c r="J182" s="4">
        <v>22331</v>
      </c>
      <c r="K182" s="4">
        <v>70</v>
      </c>
      <c r="L182" s="4" t="s">
        <v>60</v>
      </c>
      <c r="M182" s="4"/>
      <c r="N182">
        <v>1.0686041825265327</v>
      </c>
      <c r="P182" t="str">
        <f>IF(AND(C182 &gt;= 'Campaign Metadata'!B$2, C182 &lt;= 'Campaign Metadata'!C$2), 'Campaign Metadata'!A$2,
 IF(AND(C182 &gt;= 'Campaign Metadata'!B$3, C182 &lt;= 'Campaign Metadata'!C$3), 'Campaign Metadata'!A$3,
 IF(AND(C182 &gt;= 'Campaign Metadata'!B$4, C182 &lt;= 'Campaign Metadata'!C$4), 'Campaign Metadata'!A$4,
 IF(AND(C182 &gt;= 'Campaign Metadata'!B$5, C182 &lt;= 'Campaign Metadata'!C$5), 'Campaign Metadata'!A$5, "No Campaign"))))</f>
        <v>No Campaign</v>
      </c>
    </row>
    <row r="183" spans="1:16" ht="15.75" customHeight="1" x14ac:dyDescent="0.3">
      <c r="A183" s="4" t="s">
        <v>336</v>
      </c>
      <c r="B183" s="4" t="s">
        <v>31</v>
      </c>
      <c r="C183" s="4" t="s">
        <v>337</v>
      </c>
      <c r="D183" s="4" t="s">
        <v>33</v>
      </c>
      <c r="E183" s="4" t="s">
        <v>34</v>
      </c>
      <c r="F183" s="4">
        <v>1762</v>
      </c>
      <c r="G183" s="4">
        <v>405</v>
      </c>
      <c r="H183" s="4">
        <v>423</v>
      </c>
      <c r="I183" s="4">
        <v>22906</v>
      </c>
      <c r="J183" s="4">
        <v>21925</v>
      </c>
      <c r="K183" s="4">
        <v>25</v>
      </c>
      <c r="L183" s="4" t="s">
        <v>28</v>
      </c>
      <c r="M183" s="4"/>
      <c r="N183">
        <v>1.0825085518814139</v>
      </c>
      <c r="P183" t="str">
        <f>IF(AND(C183 &gt;= 'Campaign Metadata'!B$2, C183 &lt;= 'Campaign Metadata'!C$2), 'Campaign Metadata'!A$2,
 IF(AND(C183 &gt;= 'Campaign Metadata'!B$3, C183 &lt;= 'Campaign Metadata'!C$3), 'Campaign Metadata'!A$3,
 IF(AND(C183 &gt;= 'Campaign Metadata'!B$4, C183 &lt;= 'Campaign Metadata'!C$4), 'Campaign Metadata'!A$4,
 IF(AND(C183 &gt;= 'Campaign Metadata'!B$5, C183 &lt;= 'Campaign Metadata'!C$5), 'Campaign Metadata'!A$5, "No Campaign"))))</f>
        <v>No Campaign</v>
      </c>
    </row>
    <row r="184" spans="1:16" ht="15.75" customHeight="1" x14ac:dyDescent="0.3">
      <c r="A184" s="4" t="s">
        <v>330</v>
      </c>
      <c r="B184" s="4" t="s">
        <v>599</v>
      </c>
      <c r="C184" s="4" t="s">
        <v>331</v>
      </c>
      <c r="D184" s="4" t="s">
        <v>50</v>
      </c>
      <c r="E184" s="4" t="s">
        <v>51</v>
      </c>
      <c r="F184" s="4">
        <v>2283</v>
      </c>
      <c r="G184" s="4">
        <v>210</v>
      </c>
      <c r="H184" s="4">
        <v>130</v>
      </c>
      <c r="I184" s="4">
        <v>22830</v>
      </c>
      <c r="J184" s="4">
        <v>22617</v>
      </c>
      <c r="K184" s="4">
        <v>143</v>
      </c>
      <c r="L184" s="4" t="s">
        <v>60</v>
      </c>
      <c r="M184" s="4"/>
      <c r="N184">
        <v>1.0244506344784896</v>
      </c>
      <c r="P184" t="str">
        <f>IF(AND(C184 &gt;= 'Campaign Metadata'!B$2, C184 &lt;= 'Campaign Metadata'!C$2), 'Campaign Metadata'!A$2,
 IF(AND(C184 &gt;= 'Campaign Metadata'!B$3, C184 &lt;= 'Campaign Metadata'!C$3), 'Campaign Metadata'!A$3,
 IF(AND(C184 &gt;= 'Campaign Metadata'!B$4, C184 &lt;= 'Campaign Metadata'!C$4), 'Campaign Metadata'!A$4,
 IF(AND(C184 &gt;= 'Campaign Metadata'!B$5, C184 &lt;= 'Campaign Metadata'!C$5), 'Campaign Metadata'!A$5, "No Campaign"))))</f>
        <v>No Campaign</v>
      </c>
    </row>
    <row r="185" spans="1:16" ht="15.75" customHeight="1" x14ac:dyDescent="0.3">
      <c r="A185" s="4" t="s">
        <v>505</v>
      </c>
      <c r="B185" s="4" t="s">
        <v>31</v>
      </c>
      <c r="C185" s="4" t="s">
        <v>506</v>
      </c>
      <c r="D185" s="4" t="s">
        <v>72</v>
      </c>
      <c r="E185" s="4" t="s">
        <v>83</v>
      </c>
      <c r="F185" s="4">
        <v>4561</v>
      </c>
      <c r="G185" s="4">
        <v>51</v>
      </c>
      <c r="H185" s="4">
        <v>441</v>
      </c>
      <c r="I185" s="4">
        <v>22805</v>
      </c>
      <c r="J185" s="4">
        <v>21890</v>
      </c>
      <c r="K185" s="4">
        <v>45</v>
      </c>
      <c r="L185" s="4" t="s">
        <v>28</v>
      </c>
      <c r="M185" s="4"/>
      <c r="N185">
        <v>1.0642759250799452</v>
      </c>
      <c r="P185" t="str">
        <f>IF(AND(C185 &gt;= 'Campaign Metadata'!B$2, C185 &lt;= 'Campaign Metadata'!C$2), 'Campaign Metadata'!A$2,
 IF(AND(C185 &gt;= 'Campaign Metadata'!B$3, C185 &lt;= 'Campaign Metadata'!C$3), 'Campaign Metadata'!A$3,
 IF(AND(C185 &gt;= 'Campaign Metadata'!B$4, C185 &lt;= 'Campaign Metadata'!C$4), 'Campaign Metadata'!A$4,
 IF(AND(C185 &gt;= 'Campaign Metadata'!B$5, C185 &lt;= 'Campaign Metadata'!C$5), 'Campaign Metadata'!A$5, "No Campaign"))))</f>
        <v>No Campaign</v>
      </c>
    </row>
    <row r="186" spans="1:16" ht="15.75" customHeight="1" x14ac:dyDescent="0.3">
      <c r="A186" s="4" t="s">
        <v>348</v>
      </c>
      <c r="B186" s="4" t="s">
        <v>14</v>
      </c>
      <c r="C186" s="4" t="s">
        <v>231</v>
      </c>
      <c r="D186" s="4" t="s">
        <v>21</v>
      </c>
      <c r="E186" s="4" t="s">
        <v>22</v>
      </c>
      <c r="F186" s="4">
        <v>3239</v>
      </c>
      <c r="G186" s="4">
        <v>43</v>
      </c>
      <c r="H186" s="4">
        <v>211</v>
      </c>
      <c r="I186" s="4">
        <v>22673</v>
      </c>
      <c r="J186" s="4">
        <v>22171</v>
      </c>
      <c r="K186" s="4">
        <v>230</v>
      </c>
      <c r="L186" s="4" t="s">
        <v>28</v>
      </c>
      <c r="M186" s="4"/>
      <c r="N186">
        <v>1.0340985972666998</v>
      </c>
      <c r="P186" t="str">
        <f>IF(AND(C186 &gt;= 'Campaign Metadata'!B$2, C186 &lt;= 'Campaign Metadata'!C$2), 'Campaign Metadata'!A$2,
 IF(AND(C186 &gt;= 'Campaign Metadata'!B$3, C186 &lt;= 'Campaign Metadata'!C$3), 'Campaign Metadata'!A$3,
 IF(AND(C186 &gt;= 'Campaign Metadata'!B$4, C186 &lt;= 'Campaign Metadata'!C$4), 'Campaign Metadata'!A$4,
 IF(AND(C186 &gt;= 'Campaign Metadata'!B$5, C186 &lt;= 'Campaign Metadata'!C$5), 'Campaign Metadata'!A$5, "No Campaign"))))</f>
        <v>No Campaign</v>
      </c>
    </row>
    <row r="187" spans="1:16" ht="15.75" customHeight="1" x14ac:dyDescent="0.3">
      <c r="A187" s="4" t="s">
        <v>345</v>
      </c>
      <c r="B187" s="4" t="s">
        <v>31</v>
      </c>
      <c r="C187" s="4" t="s">
        <v>346</v>
      </c>
      <c r="D187" s="4" t="s">
        <v>50</v>
      </c>
      <c r="E187" s="4" t="s">
        <v>210</v>
      </c>
      <c r="F187" s="4">
        <v>4501</v>
      </c>
      <c r="G187" s="4">
        <v>375</v>
      </c>
      <c r="H187" s="4">
        <v>323</v>
      </c>
      <c r="I187" s="4">
        <v>22505</v>
      </c>
      <c r="J187" s="4">
        <v>21836</v>
      </c>
      <c r="K187" s="4">
        <v>132</v>
      </c>
      <c r="L187" s="4" t="s">
        <v>28</v>
      </c>
      <c r="M187" s="4"/>
      <c r="N187">
        <v>1.0626030408499725</v>
      </c>
      <c r="P187" t="str">
        <f>IF(AND(C187 &gt;= 'Campaign Metadata'!B$2, C187 &lt;= 'Campaign Metadata'!C$2), 'Campaign Metadata'!A$2,
 IF(AND(C187 &gt;= 'Campaign Metadata'!B$3, C187 &lt;= 'Campaign Metadata'!C$3), 'Campaign Metadata'!A$3,
 IF(AND(C187 &gt;= 'Campaign Metadata'!B$4, C187 &lt;= 'Campaign Metadata'!C$4), 'Campaign Metadata'!A$4,
 IF(AND(C187 &gt;= 'Campaign Metadata'!B$5, C187 &lt;= 'Campaign Metadata'!C$5), 'Campaign Metadata'!A$5, "No Campaign"))))</f>
        <v>No Campaign</v>
      </c>
    </row>
    <row r="188" spans="1:16" ht="15.75" customHeight="1" x14ac:dyDescent="0.3">
      <c r="A188" s="4" t="s">
        <v>64</v>
      </c>
      <c r="B188" s="4" t="s">
        <v>599</v>
      </c>
      <c r="C188" s="4" t="s">
        <v>65</v>
      </c>
      <c r="D188" s="4" t="s">
        <v>43</v>
      </c>
      <c r="E188" s="4" t="s">
        <v>66</v>
      </c>
      <c r="F188" s="4">
        <v>1171</v>
      </c>
      <c r="G188" s="4">
        <v>286</v>
      </c>
      <c r="H188" s="4">
        <v>231</v>
      </c>
      <c r="I188" s="4">
        <v>22249</v>
      </c>
      <c r="J188" s="4">
        <v>21282</v>
      </c>
      <c r="K188" s="4">
        <v>114</v>
      </c>
      <c r="L188" s="4" t="s">
        <v>35</v>
      </c>
      <c r="M188" s="4"/>
      <c r="N188">
        <v>1.0697302885067193</v>
      </c>
      <c r="P188" t="str">
        <f>IF(AND(C188 &gt;= 'Campaign Metadata'!B$2, C188 &lt;= 'Campaign Metadata'!C$2), 'Campaign Metadata'!A$2,
 IF(AND(C188 &gt;= 'Campaign Metadata'!B$3, C188 &lt;= 'Campaign Metadata'!C$3), 'Campaign Metadata'!A$3,
 IF(AND(C188 &gt;= 'Campaign Metadata'!B$4, C188 &lt;= 'Campaign Metadata'!C$4), 'Campaign Metadata'!A$4,
 IF(AND(C188 &gt;= 'Campaign Metadata'!B$5, C188 &lt;= 'Campaign Metadata'!C$5), 'Campaign Metadata'!A$5, "No Campaign"))))</f>
        <v>No Campaign</v>
      </c>
    </row>
    <row r="189" spans="1:16" ht="15.75" customHeight="1" x14ac:dyDescent="0.3">
      <c r="A189" s="4" t="s">
        <v>149</v>
      </c>
      <c r="B189" s="4" t="s">
        <v>599</v>
      </c>
      <c r="C189" s="4" t="s">
        <v>150</v>
      </c>
      <c r="D189" s="4" t="s">
        <v>33</v>
      </c>
      <c r="E189" s="4" t="s">
        <v>151</v>
      </c>
      <c r="F189" s="4">
        <v>2754</v>
      </c>
      <c r="G189" s="4">
        <v>130</v>
      </c>
      <c r="H189" s="4">
        <v>90</v>
      </c>
      <c r="I189" s="4">
        <v>22032</v>
      </c>
      <c r="J189" s="4">
        <v>21288</v>
      </c>
      <c r="K189" s="4">
        <v>112</v>
      </c>
      <c r="L189" s="4" t="s">
        <v>28</v>
      </c>
      <c r="M189" s="4"/>
      <c r="N189">
        <v>1.0452837279218339</v>
      </c>
      <c r="P189" t="str">
        <f>IF(AND(C189 &gt;= 'Campaign Metadata'!B$2, C189 &lt;= 'Campaign Metadata'!C$2), 'Campaign Metadata'!A$2,
 IF(AND(C189 &gt;= 'Campaign Metadata'!B$3, C189 &lt;= 'Campaign Metadata'!C$3), 'Campaign Metadata'!A$3,
 IF(AND(C189 &gt;= 'Campaign Metadata'!B$4, C189 &lt;= 'Campaign Metadata'!C$4), 'Campaign Metadata'!A$4,
 IF(AND(C189 &gt;= 'Campaign Metadata'!B$5, C189 &lt;= 'Campaign Metadata'!C$5), 'Campaign Metadata'!A$5, "No Campaign"))))</f>
        <v>CybertruckLaunch</v>
      </c>
    </row>
    <row r="190" spans="1:16" ht="15.75" customHeight="1" x14ac:dyDescent="0.3">
      <c r="A190" s="4" t="s">
        <v>477</v>
      </c>
      <c r="B190" s="4" t="s">
        <v>31</v>
      </c>
      <c r="C190" s="4" t="s">
        <v>478</v>
      </c>
      <c r="D190" s="4" t="s">
        <v>43</v>
      </c>
      <c r="E190" s="4" t="s">
        <v>86</v>
      </c>
      <c r="F190" s="4">
        <v>1377</v>
      </c>
      <c r="G190" s="4">
        <v>796</v>
      </c>
      <c r="H190" s="4">
        <v>387</v>
      </c>
      <c r="I190" s="4">
        <v>22032</v>
      </c>
      <c r="J190" s="4">
        <v>21869</v>
      </c>
      <c r="K190" s="4">
        <v>189</v>
      </c>
      <c r="L190" s="4" t="s">
        <v>60</v>
      </c>
      <c r="N190">
        <v>1.061548310393708</v>
      </c>
      <c r="P190" t="str">
        <f>IF(AND(C190 &gt;= 'Campaign Metadata'!B$2, C190 &lt;= 'Campaign Metadata'!C$2), 'Campaign Metadata'!A$2,
 IF(AND(C190 &gt;= 'Campaign Metadata'!B$3, C190 &lt;= 'Campaign Metadata'!C$3), 'Campaign Metadata'!A$3,
 IF(AND(C190 &gt;= 'Campaign Metadata'!B$4, C190 &lt;= 'Campaign Metadata'!C$4), 'Campaign Metadata'!A$4,
 IF(AND(C190 &gt;= 'Campaign Metadata'!B$5, C190 &lt;= 'Campaign Metadata'!C$5), 'Campaign Metadata'!A$5, "No Campaign"))))</f>
        <v>SustainabilityDrive</v>
      </c>
    </row>
    <row r="191" spans="1:16" ht="15.75" customHeight="1" x14ac:dyDescent="0.3">
      <c r="A191" s="4" t="s">
        <v>302</v>
      </c>
      <c r="B191" s="4" t="s">
        <v>31</v>
      </c>
      <c r="C191" s="4" t="s">
        <v>303</v>
      </c>
      <c r="D191" s="4" t="s">
        <v>21</v>
      </c>
      <c r="E191" s="4" t="s">
        <v>110</v>
      </c>
      <c r="F191" s="4">
        <v>3134</v>
      </c>
      <c r="G191" s="4">
        <v>888</v>
      </c>
      <c r="H191" s="4">
        <v>444</v>
      </c>
      <c r="I191" s="4">
        <v>21938</v>
      </c>
      <c r="J191" s="4">
        <v>21337</v>
      </c>
      <c r="K191" s="4">
        <v>130</v>
      </c>
      <c r="L191" s="4" t="s">
        <v>35</v>
      </c>
      <c r="M191" s="4"/>
      <c r="N191">
        <v>1.0905938041899048</v>
      </c>
      <c r="P191" t="str">
        <f>IF(AND(C191 &gt;= 'Campaign Metadata'!B$2, C191 &lt;= 'Campaign Metadata'!C$2), 'Campaign Metadata'!A$2,
 IF(AND(C191 &gt;= 'Campaign Metadata'!B$3, C191 &lt;= 'Campaign Metadata'!C$3), 'Campaign Metadata'!A$3,
 IF(AND(C191 &gt;= 'Campaign Metadata'!B$4, C191 &lt;= 'Campaign Metadata'!C$4), 'Campaign Metadata'!A$4,
 IF(AND(C191 &gt;= 'Campaign Metadata'!B$5, C191 &lt;= 'Campaign Metadata'!C$5), 'Campaign Metadata'!A$5, "No Campaign"))))</f>
        <v>CybertruckLaunch</v>
      </c>
    </row>
    <row r="192" spans="1:16" ht="15.75" customHeight="1" x14ac:dyDescent="0.3">
      <c r="A192" s="4" t="s">
        <v>13</v>
      </c>
      <c r="B192" s="4" t="s">
        <v>14</v>
      </c>
      <c r="C192" s="4" t="s">
        <v>15</v>
      </c>
      <c r="D192" s="4" t="s">
        <v>16</v>
      </c>
      <c r="E192" s="4" t="s">
        <v>17</v>
      </c>
      <c r="F192" s="4">
        <v>1461</v>
      </c>
      <c r="G192" s="4">
        <v>184</v>
      </c>
      <c r="H192" s="4">
        <v>344</v>
      </c>
      <c r="I192" s="4">
        <v>21915</v>
      </c>
      <c r="J192" s="4">
        <v>21675</v>
      </c>
      <c r="K192" s="4">
        <v>15</v>
      </c>
      <c r="L192" s="4" t="s">
        <v>60</v>
      </c>
      <c r="M192" s="4" t="s">
        <v>600</v>
      </c>
      <c r="N192">
        <v>1.0354325259515571</v>
      </c>
      <c r="P192" t="str">
        <f>IF(AND(C192 &gt;= 'Campaign Metadata'!B$2, C192 &lt;= 'Campaign Metadata'!C$2), 'Campaign Metadata'!A$2,
 IF(AND(C192 &gt;= 'Campaign Metadata'!B$3, C192 &lt;= 'Campaign Metadata'!C$3), 'Campaign Metadata'!A$3,
 IF(AND(C192 &gt;= 'Campaign Metadata'!B$4, C192 &lt;= 'Campaign Metadata'!C$4), 'Campaign Metadata'!A$4,
 IF(AND(C192 &gt;= 'Campaign Metadata'!B$5, C192 &lt;= 'Campaign Metadata'!C$5), 'Campaign Metadata'!A$5, "No Campaign"))))</f>
        <v>No Campaign</v>
      </c>
    </row>
    <row r="193" spans="1:16" ht="15.75" customHeight="1" x14ac:dyDescent="0.3">
      <c r="A193" s="4" t="s">
        <v>283</v>
      </c>
      <c r="B193" s="4" t="s">
        <v>31</v>
      </c>
      <c r="C193" s="4" t="s">
        <v>252</v>
      </c>
      <c r="D193" s="4" t="s">
        <v>33</v>
      </c>
      <c r="E193" s="4" t="s">
        <v>34</v>
      </c>
      <c r="F193" s="4">
        <v>4363</v>
      </c>
      <c r="G193" s="4">
        <v>649</v>
      </c>
      <c r="H193" s="4">
        <v>140</v>
      </c>
      <c r="I193" s="4">
        <v>21815</v>
      </c>
      <c r="J193" s="4">
        <v>21481</v>
      </c>
      <c r="K193" s="4">
        <v>157</v>
      </c>
      <c r="L193" s="4" t="s">
        <v>35</v>
      </c>
      <c r="M193" s="4"/>
      <c r="N193">
        <v>1.0522787579721615</v>
      </c>
      <c r="P193" t="str">
        <f>IF(AND(C193 &gt;= 'Campaign Metadata'!B$2, C193 &lt;= 'Campaign Metadata'!C$2), 'Campaign Metadata'!A$2,
 IF(AND(C193 &gt;= 'Campaign Metadata'!B$3, C193 &lt;= 'Campaign Metadata'!C$3), 'Campaign Metadata'!A$3,
 IF(AND(C193 &gt;= 'Campaign Metadata'!B$4, C193 &lt;= 'Campaign Metadata'!C$4), 'Campaign Metadata'!A$4,
 IF(AND(C193 &gt;= 'Campaign Metadata'!B$5, C193 &lt;= 'Campaign Metadata'!C$5), 'Campaign Metadata'!A$5, "No Campaign"))))</f>
        <v>No Campaign</v>
      </c>
    </row>
    <row r="194" spans="1:16" ht="15.75" customHeight="1" x14ac:dyDescent="0.3">
      <c r="A194" s="4" t="s">
        <v>197</v>
      </c>
      <c r="B194" s="4" t="s">
        <v>31</v>
      </c>
      <c r="C194" s="4" t="s">
        <v>198</v>
      </c>
      <c r="D194" s="4" t="s">
        <v>16</v>
      </c>
      <c r="E194" s="4" t="s">
        <v>80</v>
      </c>
      <c r="F194" s="4">
        <v>1674</v>
      </c>
      <c r="G194" s="4">
        <v>929</v>
      </c>
      <c r="H194" s="4">
        <v>37</v>
      </c>
      <c r="I194" s="4">
        <v>21762</v>
      </c>
      <c r="J194" s="4">
        <v>20998</v>
      </c>
      <c r="K194" s="4">
        <v>255</v>
      </c>
      <c r="L194" s="4" t="s">
        <v>28</v>
      </c>
      <c r="M194" s="4"/>
      <c r="N194">
        <v>1.0823887989332317</v>
      </c>
      <c r="P194" t="str">
        <f>IF(AND(C194 &gt;= 'Campaign Metadata'!B$2, C194 &lt;= 'Campaign Metadata'!C$2), 'Campaign Metadata'!A$2,
 IF(AND(C194 &gt;= 'Campaign Metadata'!B$3, C194 &lt;= 'Campaign Metadata'!C$3), 'Campaign Metadata'!A$3,
 IF(AND(C194 &gt;= 'Campaign Metadata'!B$4, C194 &lt;= 'Campaign Metadata'!C$4), 'Campaign Metadata'!A$4,
 IF(AND(C194 &gt;= 'Campaign Metadata'!B$5, C194 &lt;= 'Campaign Metadata'!C$5), 'Campaign Metadata'!A$5, "No Campaign"))))</f>
        <v>No Campaign</v>
      </c>
    </row>
    <row r="195" spans="1:16" ht="15.75" customHeight="1" x14ac:dyDescent="0.3">
      <c r="A195" s="4" t="s">
        <v>143</v>
      </c>
      <c r="B195" s="4" t="s">
        <v>14</v>
      </c>
      <c r="C195" s="4" t="s">
        <v>144</v>
      </c>
      <c r="D195" s="4" t="s">
        <v>43</v>
      </c>
      <c r="E195" s="4" t="s">
        <v>47</v>
      </c>
      <c r="F195" s="4">
        <v>2704</v>
      </c>
      <c r="G195" s="4">
        <v>752</v>
      </c>
      <c r="H195" s="4">
        <v>153</v>
      </c>
      <c r="I195" s="4">
        <v>21632</v>
      </c>
      <c r="J195" s="4">
        <v>20792</v>
      </c>
      <c r="K195" s="4">
        <v>127</v>
      </c>
      <c r="L195" s="4" t="s">
        <v>60</v>
      </c>
      <c r="N195">
        <v>1.0839265101962292</v>
      </c>
      <c r="P195" t="str">
        <f>IF(AND(C195 &gt;= 'Campaign Metadata'!B$2, C195 &lt;= 'Campaign Metadata'!C$2), 'Campaign Metadata'!A$2,
 IF(AND(C195 &gt;= 'Campaign Metadata'!B$3, C195 &lt;= 'Campaign Metadata'!C$3), 'Campaign Metadata'!A$3,
 IF(AND(C195 &gt;= 'Campaign Metadata'!B$4, C195 &lt;= 'Campaign Metadata'!C$4), 'Campaign Metadata'!A$4,
 IF(AND(C195 &gt;= 'Campaign Metadata'!B$5, C195 &lt;= 'Campaign Metadata'!C$5), 'Campaign Metadata'!A$5, "No Campaign"))))</f>
        <v>No Campaign</v>
      </c>
    </row>
    <row r="196" spans="1:16" ht="15.75" customHeight="1" x14ac:dyDescent="0.3">
      <c r="A196" s="4" t="s">
        <v>487</v>
      </c>
      <c r="B196" s="4" t="s">
        <v>31</v>
      </c>
      <c r="C196" s="4" t="s">
        <v>488</v>
      </c>
      <c r="D196" s="4" t="s">
        <v>33</v>
      </c>
      <c r="E196" s="4" t="s">
        <v>34</v>
      </c>
      <c r="F196" s="4">
        <v>3601</v>
      </c>
      <c r="G196" s="4">
        <v>695</v>
      </c>
      <c r="H196" s="4">
        <v>75</v>
      </c>
      <c r="I196" s="4">
        <v>21606</v>
      </c>
      <c r="J196" s="4">
        <v>21454</v>
      </c>
      <c r="K196" s="4">
        <v>172</v>
      </c>
      <c r="L196" s="4" t="s">
        <v>35</v>
      </c>
      <c r="M196" s="4"/>
      <c r="N196">
        <v>1.0429756688729375</v>
      </c>
      <c r="P196" t="str">
        <f>IF(AND(C196 &gt;= 'Campaign Metadata'!B$2, C196 &lt;= 'Campaign Metadata'!C$2), 'Campaign Metadata'!A$2,
 IF(AND(C196 &gt;= 'Campaign Metadata'!B$3, C196 &lt;= 'Campaign Metadata'!C$3), 'Campaign Metadata'!A$3,
 IF(AND(C196 &gt;= 'Campaign Metadata'!B$4, C196 &lt;= 'Campaign Metadata'!C$4), 'Campaign Metadata'!A$4,
 IF(AND(C196 &gt;= 'Campaign Metadata'!B$5, C196 &lt;= 'Campaign Metadata'!C$5), 'Campaign Metadata'!A$5, "No Campaign"))))</f>
        <v>No Campaign</v>
      </c>
    </row>
    <row r="197" spans="1:16" ht="15.75" customHeight="1" x14ac:dyDescent="0.3">
      <c r="A197" s="4" t="s">
        <v>482</v>
      </c>
      <c r="B197" s="4" t="s">
        <v>14</v>
      </c>
      <c r="C197" s="4" t="s">
        <v>483</v>
      </c>
      <c r="D197" s="4" t="s">
        <v>50</v>
      </c>
      <c r="E197" s="4" t="s">
        <v>129</v>
      </c>
      <c r="F197" s="4">
        <v>2692</v>
      </c>
      <c r="G197" s="4">
        <v>115</v>
      </c>
      <c r="H197" s="4">
        <v>64</v>
      </c>
      <c r="I197" s="4">
        <v>21536</v>
      </c>
      <c r="J197" s="4">
        <v>21120</v>
      </c>
      <c r="K197" s="4">
        <v>224</v>
      </c>
      <c r="L197" s="4" t="s">
        <v>60</v>
      </c>
      <c r="M197" s="4"/>
      <c r="N197">
        <v>1.0281723484848484</v>
      </c>
      <c r="P197" t="str">
        <f>IF(AND(C197 &gt;= 'Campaign Metadata'!B$2, C197 &lt;= 'Campaign Metadata'!C$2), 'Campaign Metadata'!A$2,
 IF(AND(C197 &gt;= 'Campaign Metadata'!B$3, C197 &lt;= 'Campaign Metadata'!C$3), 'Campaign Metadata'!A$3,
 IF(AND(C197 &gt;= 'Campaign Metadata'!B$4, C197 &lt;= 'Campaign Metadata'!C$4), 'Campaign Metadata'!A$4,
 IF(AND(C197 &gt;= 'Campaign Metadata'!B$5, C197 &lt;= 'Campaign Metadata'!C$5), 'Campaign Metadata'!A$5, "No Campaign"))))</f>
        <v>No Campaign</v>
      </c>
    </row>
    <row r="198" spans="1:16" ht="15.75" customHeight="1" x14ac:dyDescent="0.3">
      <c r="A198" s="4" t="s">
        <v>448</v>
      </c>
      <c r="B198" s="4" t="s">
        <v>31</v>
      </c>
      <c r="C198" s="4" t="s">
        <v>424</v>
      </c>
      <c r="D198" s="4" t="s">
        <v>21</v>
      </c>
      <c r="E198" s="4" t="s">
        <v>110</v>
      </c>
      <c r="F198" s="4">
        <v>1430</v>
      </c>
      <c r="G198" s="4">
        <v>376</v>
      </c>
      <c r="H198" s="4">
        <v>33</v>
      </c>
      <c r="I198" s="4">
        <v>21450</v>
      </c>
      <c r="J198" s="4">
        <v>20509</v>
      </c>
      <c r="K198" s="4">
        <v>251</v>
      </c>
      <c r="L198" s="4" t="s">
        <v>60</v>
      </c>
      <c r="M198" s="4"/>
      <c r="N198">
        <v>1.0658247598615243</v>
      </c>
      <c r="P198" t="str">
        <f>IF(AND(C198 &gt;= 'Campaign Metadata'!B$2, C198 &lt;= 'Campaign Metadata'!C$2), 'Campaign Metadata'!A$2,
 IF(AND(C198 &gt;= 'Campaign Metadata'!B$3, C198 &lt;= 'Campaign Metadata'!C$3), 'Campaign Metadata'!A$3,
 IF(AND(C198 &gt;= 'Campaign Metadata'!B$4, C198 &lt;= 'Campaign Metadata'!C$4), 'Campaign Metadata'!A$4,
 IF(AND(C198 &gt;= 'Campaign Metadata'!B$5, C198 &lt;= 'Campaign Metadata'!C$5), 'Campaign Metadata'!A$5, "No Campaign"))))</f>
        <v>No Campaign</v>
      </c>
    </row>
    <row r="199" spans="1:16" ht="15.75" customHeight="1" x14ac:dyDescent="0.3">
      <c r="A199" s="4" t="s">
        <v>508</v>
      </c>
      <c r="B199" s="4" t="s">
        <v>31</v>
      </c>
      <c r="C199" s="4" t="s">
        <v>509</v>
      </c>
      <c r="D199" s="4" t="s">
        <v>72</v>
      </c>
      <c r="E199" s="4" t="s">
        <v>83</v>
      </c>
      <c r="F199" s="4">
        <v>3575</v>
      </c>
      <c r="G199" s="4">
        <v>749</v>
      </c>
      <c r="H199" s="4">
        <v>111</v>
      </c>
      <c r="I199" s="4">
        <v>21450</v>
      </c>
      <c r="J199" s="4">
        <v>20785</v>
      </c>
      <c r="K199" s="4">
        <v>195</v>
      </c>
      <c r="L199" s="4" t="s">
        <v>35</v>
      </c>
      <c r="M199" s="4"/>
      <c r="N199">
        <v>1.0733702189078662</v>
      </c>
      <c r="P199" t="str">
        <f>IF(AND(C199 &gt;= 'Campaign Metadata'!B$2, C199 &lt;= 'Campaign Metadata'!C$2), 'Campaign Metadata'!A$2,
 IF(AND(C199 &gt;= 'Campaign Metadata'!B$3, C199 &lt;= 'Campaign Metadata'!C$3), 'Campaign Metadata'!A$3,
 IF(AND(C199 &gt;= 'Campaign Metadata'!B$4, C199 &lt;= 'Campaign Metadata'!C$4), 'Campaign Metadata'!A$4,
 IF(AND(C199 &gt;= 'Campaign Metadata'!B$5, C199 &lt;= 'Campaign Metadata'!C$5), 'Campaign Metadata'!A$5, "No Campaign"))))</f>
        <v>ModelYCampaign</v>
      </c>
    </row>
    <row r="200" spans="1:16" ht="15.75" customHeight="1" x14ac:dyDescent="0.3">
      <c r="A200" s="4" t="s">
        <v>295</v>
      </c>
      <c r="B200" s="4" t="s">
        <v>31</v>
      </c>
      <c r="C200" s="4" t="s">
        <v>103</v>
      </c>
      <c r="D200" s="4" t="s">
        <v>33</v>
      </c>
      <c r="E200" s="4" t="s">
        <v>34</v>
      </c>
      <c r="F200" s="4">
        <v>1947</v>
      </c>
      <c r="G200" s="4">
        <v>842</v>
      </c>
      <c r="H200" s="4">
        <v>101</v>
      </c>
      <c r="I200" s="4">
        <v>21417</v>
      </c>
      <c r="J200" s="4">
        <v>20967</v>
      </c>
      <c r="K200" s="4">
        <v>186</v>
      </c>
      <c r="L200" s="4" t="s">
        <v>60</v>
      </c>
      <c r="M200" s="4"/>
      <c r="N200">
        <v>1.0664377354891019</v>
      </c>
      <c r="P200" t="str">
        <f>IF(AND(C200 &gt;= 'Campaign Metadata'!B$2, C200 &lt;= 'Campaign Metadata'!C$2), 'Campaign Metadata'!A$2,
 IF(AND(C200 &gt;= 'Campaign Metadata'!B$3, C200 &lt;= 'Campaign Metadata'!C$3), 'Campaign Metadata'!A$3,
 IF(AND(C200 &gt;= 'Campaign Metadata'!B$4, C200 &lt;= 'Campaign Metadata'!C$4), 'Campaign Metadata'!A$4,
 IF(AND(C200 &gt;= 'Campaign Metadata'!B$5, C200 &lt;= 'Campaign Metadata'!C$5), 'Campaign Metadata'!A$5, "No Campaign"))))</f>
        <v>SustainabilityDrive</v>
      </c>
    </row>
    <row r="201" spans="1:16" ht="15.75" customHeight="1" x14ac:dyDescent="0.3">
      <c r="A201" s="4" t="s">
        <v>517</v>
      </c>
      <c r="B201" s="4" t="s">
        <v>41</v>
      </c>
      <c r="C201" s="4" t="s">
        <v>285</v>
      </c>
      <c r="D201" s="4" t="s">
        <v>50</v>
      </c>
      <c r="E201" s="4" t="s">
        <v>57</v>
      </c>
      <c r="F201" s="4">
        <v>4236</v>
      </c>
      <c r="G201" s="4">
        <v>711</v>
      </c>
      <c r="H201" s="4">
        <v>298</v>
      </c>
      <c r="I201" s="4">
        <v>21180</v>
      </c>
      <c r="J201" s="4">
        <v>20516</v>
      </c>
      <c r="K201" s="4">
        <v>238</v>
      </c>
      <c r="L201" s="4" t="s">
        <v>60</v>
      </c>
      <c r="M201" s="4"/>
      <c r="N201">
        <v>1.0815461103528954</v>
      </c>
      <c r="P201" t="str">
        <f>IF(AND(C201 &gt;= 'Campaign Metadata'!B$2, C201 &lt;= 'Campaign Metadata'!C$2), 'Campaign Metadata'!A$2,
 IF(AND(C201 &gt;= 'Campaign Metadata'!B$3, C201 &lt;= 'Campaign Metadata'!C$3), 'Campaign Metadata'!A$3,
 IF(AND(C201 &gt;= 'Campaign Metadata'!B$4, C201 &lt;= 'Campaign Metadata'!C$4), 'Campaign Metadata'!A$4,
 IF(AND(C201 &gt;= 'Campaign Metadata'!B$5, C201 &lt;= 'Campaign Metadata'!C$5), 'Campaign Metadata'!A$5, "No Campaign"))))</f>
        <v>No Campaign</v>
      </c>
    </row>
    <row r="202" spans="1:16" ht="15.75" customHeight="1" x14ac:dyDescent="0.3">
      <c r="A202" s="4" t="s">
        <v>459</v>
      </c>
      <c r="B202" s="4" t="s">
        <v>599</v>
      </c>
      <c r="C202" s="4" t="s">
        <v>144</v>
      </c>
      <c r="D202" s="4" t="s">
        <v>21</v>
      </c>
      <c r="E202" s="4" t="s">
        <v>101</v>
      </c>
      <c r="F202" s="4">
        <v>4188</v>
      </c>
      <c r="G202" s="4">
        <v>942</v>
      </c>
      <c r="H202" s="4">
        <v>118</v>
      </c>
      <c r="I202" s="4">
        <v>20940</v>
      </c>
      <c r="J202" s="4">
        <v>20471</v>
      </c>
      <c r="K202" s="4">
        <v>102</v>
      </c>
      <c r="L202" s="4" t="s">
        <v>60</v>
      </c>
      <c r="N202">
        <v>1.0746910263299301</v>
      </c>
      <c r="P202" t="str">
        <f>IF(AND(C202 &gt;= 'Campaign Metadata'!B$2, C202 &lt;= 'Campaign Metadata'!C$2), 'Campaign Metadata'!A$2,
 IF(AND(C202 &gt;= 'Campaign Metadata'!B$3, C202 &lt;= 'Campaign Metadata'!C$3), 'Campaign Metadata'!A$3,
 IF(AND(C202 &gt;= 'Campaign Metadata'!B$4, C202 &lt;= 'Campaign Metadata'!C$4), 'Campaign Metadata'!A$4,
 IF(AND(C202 &gt;= 'Campaign Metadata'!B$5, C202 &lt;= 'Campaign Metadata'!C$5), 'Campaign Metadata'!A$5, "No Campaign"))))</f>
        <v>No Campaign</v>
      </c>
    </row>
    <row r="203" spans="1:16" ht="15.75" customHeight="1" x14ac:dyDescent="0.3">
      <c r="A203" s="4" t="s">
        <v>275</v>
      </c>
      <c r="B203" s="4" t="s">
        <v>14</v>
      </c>
      <c r="C203" s="4" t="s">
        <v>276</v>
      </c>
      <c r="D203" s="4" t="s">
        <v>50</v>
      </c>
      <c r="E203" s="4" t="s">
        <v>129</v>
      </c>
      <c r="F203" s="4">
        <v>1606</v>
      </c>
      <c r="G203" s="4">
        <v>451</v>
      </c>
      <c r="H203" s="4">
        <v>405</v>
      </c>
      <c r="I203" s="4">
        <v>20878</v>
      </c>
      <c r="J203" s="4">
        <v>20190</v>
      </c>
      <c r="K203" s="4">
        <v>219</v>
      </c>
      <c r="L203" s="4" t="s">
        <v>35</v>
      </c>
      <c r="M203" s="4"/>
      <c r="N203">
        <v>1.0764735017335314</v>
      </c>
      <c r="P203" t="str">
        <f>IF(AND(C203 &gt;= 'Campaign Metadata'!B$2, C203 &lt;= 'Campaign Metadata'!C$2), 'Campaign Metadata'!A$2,
 IF(AND(C203 &gt;= 'Campaign Metadata'!B$3, C203 &lt;= 'Campaign Metadata'!C$3), 'Campaign Metadata'!A$3,
 IF(AND(C203 &gt;= 'Campaign Metadata'!B$4, C203 &lt;= 'Campaign Metadata'!C$4), 'Campaign Metadata'!A$4,
 IF(AND(C203 &gt;= 'Campaign Metadata'!B$5, C203 &lt;= 'Campaign Metadata'!C$5), 'Campaign Metadata'!A$5, "No Campaign"))))</f>
        <v>No Campaign</v>
      </c>
    </row>
    <row r="204" spans="1:16" ht="15.75" customHeight="1" x14ac:dyDescent="0.3">
      <c r="A204" s="4" t="s">
        <v>178</v>
      </c>
      <c r="B204" s="4" t="s">
        <v>31</v>
      </c>
      <c r="C204" s="4" t="s">
        <v>179</v>
      </c>
      <c r="D204" s="4" t="s">
        <v>33</v>
      </c>
      <c r="E204" s="4" t="s">
        <v>34</v>
      </c>
      <c r="F204" s="4">
        <v>1881</v>
      </c>
      <c r="G204" s="4">
        <v>501</v>
      </c>
      <c r="H204" s="4">
        <v>99</v>
      </c>
      <c r="I204" s="4">
        <v>20691</v>
      </c>
      <c r="J204" s="4">
        <v>19987</v>
      </c>
      <c r="K204" s="4">
        <v>289</v>
      </c>
      <c r="L204" s="4" t="s">
        <v>35</v>
      </c>
      <c r="N204">
        <v>1.0652424075649172</v>
      </c>
      <c r="P204" t="str">
        <f>IF(AND(C204 &gt;= 'Campaign Metadata'!B$2, C204 &lt;= 'Campaign Metadata'!C$2), 'Campaign Metadata'!A$2,
 IF(AND(C204 &gt;= 'Campaign Metadata'!B$3, C204 &lt;= 'Campaign Metadata'!C$3), 'Campaign Metadata'!A$3,
 IF(AND(C204 &gt;= 'Campaign Metadata'!B$4, C204 &lt;= 'Campaign Metadata'!C$4), 'Campaign Metadata'!A$4,
 IF(AND(C204 &gt;= 'Campaign Metadata'!B$5, C204 &lt;= 'Campaign Metadata'!C$5), 'Campaign Metadata'!A$5, "No Campaign"))))</f>
        <v>SustainabilityDrive</v>
      </c>
    </row>
    <row r="205" spans="1:16" ht="15.75" customHeight="1" x14ac:dyDescent="0.3">
      <c r="A205" s="4" t="s">
        <v>530</v>
      </c>
      <c r="B205" s="4" t="s">
        <v>599</v>
      </c>
      <c r="C205" s="4" t="s">
        <v>531</v>
      </c>
      <c r="D205" s="4" t="s">
        <v>72</v>
      </c>
      <c r="E205" s="4" t="s">
        <v>213</v>
      </c>
      <c r="F205" s="4">
        <v>3389</v>
      </c>
      <c r="G205" s="4">
        <v>344</v>
      </c>
      <c r="H205" s="4">
        <v>229</v>
      </c>
      <c r="I205" s="4">
        <v>20334</v>
      </c>
      <c r="J205" s="4">
        <v>19443</v>
      </c>
      <c r="K205" s="4">
        <v>228</v>
      </c>
      <c r="L205" s="4" t="s">
        <v>60</v>
      </c>
      <c r="M205" s="4"/>
      <c r="N205">
        <v>1.0752970220644962</v>
      </c>
      <c r="P205" t="str">
        <f>IF(AND(C205 &gt;= 'Campaign Metadata'!B$2, C205 &lt;= 'Campaign Metadata'!C$2), 'Campaign Metadata'!A$2,
 IF(AND(C205 &gt;= 'Campaign Metadata'!B$3, C205 &lt;= 'Campaign Metadata'!C$3), 'Campaign Metadata'!A$3,
 IF(AND(C205 &gt;= 'Campaign Metadata'!B$4, C205 &lt;= 'Campaign Metadata'!C$4), 'Campaign Metadata'!A$4,
 IF(AND(C205 &gt;= 'Campaign Metadata'!B$5, C205 &lt;= 'Campaign Metadata'!C$5), 'Campaign Metadata'!A$5, "No Campaign"))))</f>
        <v>No Campaign</v>
      </c>
    </row>
    <row r="206" spans="1:16" ht="15.75" customHeight="1" x14ac:dyDescent="0.3">
      <c r="A206" s="4" t="s">
        <v>206</v>
      </c>
      <c r="B206" s="4" t="s">
        <v>31</v>
      </c>
      <c r="C206" s="4" t="s">
        <v>207</v>
      </c>
      <c r="D206" s="4" t="s">
        <v>33</v>
      </c>
      <c r="E206" s="4" t="s">
        <v>34</v>
      </c>
      <c r="F206" s="4">
        <v>1816</v>
      </c>
      <c r="G206" s="4">
        <v>29</v>
      </c>
      <c r="H206" s="4">
        <v>41</v>
      </c>
      <c r="I206" s="4">
        <v>19976</v>
      </c>
      <c r="J206" s="4">
        <v>19262</v>
      </c>
      <c r="K206" s="4">
        <v>283</v>
      </c>
      <c r="L206" s="4" t="s">
        <v>28</v>
      </c>
      <c r="M206" s="4"/>
      <c r="N206">
        <v>1.0407019001142146</v>
      </c>
      <c r="P206" t="str">
        <f>IF(AND(C206 &gt;= 'Campaign Metadata'!B$2, C206 &lt;= 'Campaign Metadata'!C$2), 'Campaign Metadata'!A$2,
 IF(AND(C206 &gt;= 'Campaign Metadata'!B$3, C206 &lt;= 'Campaign Metadata'!C$3), 'Campaign Metadata'!A$3,
 IF(AND(C206 &gt;= 'Campaign Metadata'!B$4, C206 &lt;= 'Campaign Metadata'!C$4), 'Campaign Metadata'!A$4,
 IF(AND(C206 &gt;= 'Campaign Metadata'!B$5, C206 &lt;= 'Campaign Metadata'!C$5), 'Campaign Metadata'!A$5, "No Campaign"))))</f>
        <v>ModelYCampaign</v>
      </c>
    </row>
    <row r="207" spans="1:16" ht="15.75" customHeight="1" x14ac:dyDescent="0.3">
      <c r="A207" s="4" t="s">
        <v>397</v>
      </c>
      <c r="B207" s="4" t="s">
        <v>31</v>
      </c>
      <c r="C207" s="4" t="s">
        <v>398</v>
      </c>
      <c r="D207" s="4" t="s">
        <v>21</v>
      </c>
      <c r="E207" s="4" t="s">
        <v>110</v>
      </c>
      <c r="F207" s="4">
        <v>1813</v>
      </c>
      <c r="G207" s="4">
        <v>623</v>
      </c>
      <c r="H207" s="4">
        <v>72</v>
      </c>
      <c r="I207" s="4">
        <v>19943</v>
      </c>
      <c r="J207" s="4">
        <v>18959</v>
      </c>
      <c r="K207" s="4">
        <v>85</v>
      </c>
      <c r="L207" s="4" t="s">
        <v>35</v>
      </c>
      <c r="M207" s="4"/>
      <c r="N207">
        <v>1.0885595231816023</v>
      </c>
      <c r="P207" t="str">
        <f>IF(AND(C207 &gt;= 'Campaign Metadata'!B$2, C207 &lt;= 'Campaign Metadata'!C$2), 'Campaign Metadata'!A$2,
 IF(AND(C207 &gt;= 'Campaign Metadata'!B$3, C207 &lt;= 'Campaign Metadata'!C$3), 'Campaign Metadata'!A$3,
 IF(AND(C207 &gt;= 'Campaign Metadata'!B$4, C207 &lt;= 'Campaign Metadata'!C$4), 'Campaign Metadata'!A$4,
 IF(AND(C207 &gt;= 'Campaign Metadata'!B$5, C207 &lt;= 'Campaign Metadata'!C$5), 'Campaign Metadata'!A$5, "No Campaign"))))</f>
        <v>No Campaign</v>
      </c>
    </row>
    <row r="208" spans="1:16" ht="15.75" customHeight="1" x14ac:dyDescent="0.3">
      <c r="A208" s="4" t="s">
        <v>235</v>
      </c>
      <c r="B208" s="4" t="s">
        <v>14</v>
      </c>
      <c r="C208" s="4" t="s">
        <v>236</v>
      </c>
      <c r="D208" s="4" t="s">
        <v>50</v>
      </c>
      <c r="E208" s="4" t="s">
        <v>129</v>
      </c>
      <c r="F208" s="4">
        <v>1238</v>
      </c>
      <c r="G208" s="4">
        <v>366</v>
      </c>
      <c r="H208" s="4">
        <v>444</v>
      </c>
      <c r="I208" s="4">
        <v>19808</v>
      </c>
      <c r="J208" s="4">
        <v>19334</v>
      </c>
      <c r="K208" s="4">
        <v>123</v>
      </c>
      <c r="L208" s="4" t="s">
        <v>60</v>
      </c>
      <c r="N208">
        <v>1.0664115030516188</v>
      </c>
      <c r="P208" t="str">
        <f>IF(AND(C208 &gt;= 'Campaign Metadata'!B$2, C208 &lt;= 'Campaign Metadata'!C$2), 'Campaign Metadata'!A$2,
 IF(AND(C208 &gt;= 'Campaign Metadata'!B$3, C208 &lt;= 'Campaign Metadata'!C$3), 'Campaign Metadata'!A$3,
 IF(AND(C208 &gt;= 'Campaign Metadata'!B$4, C208 &lt;= 'Campaign Metadata'!C$4), 'Campaign Metadata'!A$4,
 IF(AND(C208 &gt;= 'Campaign Metadata'!B$5, C208 &lt;= 'Campaign Metadata'!C$5), 'Campaign Metadata'!A$5, "No Campaign"))))</f>
        <v>No Campaign</v>
      </c>
    </row>
    <row r="209" spans="1:16" ht="15.75" customHeight="1" x14ac:dyDescent="0.3">
      <c r="A209" s="4" t="s">
        <v>339</v>
      </c>
      <c r="B209" s="4" t="s">
        <v>14</v>
      </c>
      <c r="C209" s="4" t="s">
        <v>340</v>
      </c>
      <c r="D209" s="4" t="s">
        <v>72</v>
      </c>
      <c r="E209" s="4" t="s">
        <v>142</v>
      </c>
      <c r="F209" s="4">
        <v>1082</v>
      </c>
      <c r="G209" s="4">
        <v>209</v>
      </c>
      <c r="H209" s="4">
        <v>484</v>
      </c>
      <c r="I209" s="4">
        <v>19476</v>
      </c>
      <c r="J209" s="4">
        <v>18654</v>
      </c>
      <c r="K209" s="4">
        <v>20</v>
      </c>
      <c r="L209" s="4" t="s">
        <v>28</v>
      </c>
      <c r="N209">
        <v>1.0812158250241235</v>
      </c>
      <c r="P209" t="str">
        <f>IF(AND(C209 &gt;= 'Campaign Metadata'!B$2, C209 &lt;= 'Campaign Metadata'!C$2), 'Campaign Metadata'!A$2,
 IF(AND(C209 &gt;= 'Campaign Metadata'!B$3, C209 &lt;= 'Campaign Metadata'!C$3), 'Campaign Metadata'!A$3,
 IF(AND(C209 &gt;= 'Campaign Metadata'!B$4, C209 &lt;= 'Campaign Metadata'!C$4), 'Campaign Metadata'!A$4,
 IF(AND(C209 &gt;= 'Campaign Metadata'!B$5, C209 &lt;= 'Campaign Metadata'!C$5), 'Campaign Metadata'!A$5, "No Campaign"))))</f>
        <v>No Campaign</v>
      </c>
    </row>
    <row r="210" spans="1:16" ht="15.75" customHeight="1" x14ac:dyDescent="0.3">
      <c r="A210" s="4" t="s">
        <v>524</v>
      </c>
      <c r="B210" s="4" t="s">
        <v>31</v>
      </c>
      <c r="C210" s="4" t="s">
        <v>525</v>
      </c>
      <c r="D210" s="4" t="s">
        <v>72</v>
      </c>
      <c r="E210" s="4" t="s">
        <v>83</v>
      </c>
      <c r="F210" s="4">
        <v>1488</v>
      </c>
      <c r="G210" s="4">
        <v>417</v>
      </c>
      <c r="H210" s="4">
        <v>168</v>
      </c>
      <c r="I210" s="4">
        <v>19344</v>
      </c>
      <c r="J210" s="4">
        <v>18395</v>
      </c>
      <c r="K210" s="4">
        <v>30</v>
      </c>
      <c r="L210" s="4" t="s">
        <v>60</v>
      </c>
      <c r="M210" s="4"/>
      <c r="N210">
        <v>1.0833922261484099</v>
      </c>
      <c r="P210" t="str">
        <f>IF(AND(C210 &gt;= 'Campaign Metadata'!B$2, C210 &lt;= 'Campaign Metadata'!C$2), 'Campaign Metadata'!A$2,
 IF(AND(C210 &gt;= 'Campaign Metadata'!B$3, C210 &lt;= 'Campaign Metadata'!C$3), 'Campaign Metadata'!A$3,
 IF(AND(C210 &gt;= 'Campaign Metadata'!B$4, C210 &lt;= 'Campaign Metadata'!C$4), 'Campaign Metadata'!A$4,
 IF(AND(C210 &gt;= 'Campaign Metadata'!B$5, C210 &lt;= 'Campaign Metadata'!C$5), 'Campaign Metadata'!A$5, "No Campaign"))))</f>
        <v>ModelYCampaign</v>
      </c>
    </row>
    <row r="211" spans="1:16" ht="15.75" customHeight="1" x14ac:dyDescent="0.3">
      <c r="A211" s="4" t="s">
        <v>30</v>
      </c>
      <c r="B211" s="4" t="s">
        <v>31</v>
      </c>
      <c r="C211" s="4" t="s">
        <v>32</v>
      </c>
      <c r="D211" s="4" t="s">
        <v>33</v>
      </c>
      <c r="E211" s="4" t="s">
        <v>34</v>
      </c>
      <c r="F211" s="4">
        <v>2404</v>
      </c>
      <c r="G211" s="4">
        <v>363</v>
      </c>
      <c r="H211" s="4">
        <v>138</v>
      </c>
      <c r="I211" s="4">
        <v>19232</v>
      </c>
      <c r="J211" s="4">
        <v>18636</v>
      </c>
      <c r="K211" s="4">
        <v>128</v>
      </c>
      <c r="L211" s="4" t="s">
        <v>35</v>
      </c>
      <c r="M211" s="4"/>
      <c r="N211">
        <v>1.0588645632109894</v>
      </c>
      <c r="P211" t="str">
        <f>IF(AND(C211 &gt;= 'Campaign Metadata'!B$2, C211 &lt;= 'Campaign Metadata'!C$2), 'Campaign Metadata'!A$2,
 IF(AND(C211 &gt;= 'Campaign Metadata'!B$3, C211 &lt;= 'Campaign Metadata'!C$3), 'Campaign Metadata'!A$3,
 IF(AND(C211 &gt;= 'Campaign Metadata'!B$4, C211 &lt;= 'Campaign Metadata'!C$4), 'Campaign Metadata'!A$4,
 IF(AND(C211 &gt;= 'Campaign Metadata'!B$5, C211 &lt;= 'Campaign Metadata'!C$5), 'Campaign Metadata'!A$5, "No Campaign"))))</f>
        <v>No Campaign</v>
      </c>
    </row>
    <row r="212" spans="1:16" ht="15.75" customHeight="1" x14ac:dyDescent="0.3">
      <c r="A212" s="4" t="s">
        <v>202</v>
      </c>
      <c r="B212" s="4" t="s">
        <v>14</v>
      </c>
      <c r="C212" s="4" t="s">
        <v>160</v>
      </c>
      <c r="D212" s="4" t="s">
        <v>50</v>
      </c>
      <c r="E212" s="4" t="s">
        <v>129</v>
      </c>
      <c r="F212" s="4">
        <v>954</v>
      </c>
      <c r="G212" s="4">
        <v>324</v>
      </c>
      <c r="H212" s="4">
        <v>288</v>
      </c>
      <c r="I212" s="4">
        <v>19080</v>
      </c>
      <c r="J212" s="4">
        <v>18859</v>
      </c>
      <c r="K212" s="4">
        <v>21</v>
      </c>
      <c r="L212" s="4" t="s">
        <v>60</v>
      </c>
      <c r="M212" s="4"/>
      <c r="N212">
        <v>1.0441698923590859</v>
      </c>
      <c r="P212" t="str">
        <f>IF(AND(C212 &gt;= 'Campaign Metadata'!B$2, C212 &lt;= 'Campaign Metadata'!C$2), 'Campaign Metadata'!A$2,
 IF(AND(C212 &gt;= 'Campaign Metadata'!B$3, C212 &lt;= 'Campaign Metadata'!C$3), 'Campaign Metadata'!A$3,
 IF(AND(C212 &gt;= 'Campaign Metadata'!B$4, C212 &lt;= 'Campaign Metadata'!C$4), 'Campaign Metadata'!A$4,
 IF(AND(C212 &gt;= 'Campaign Metadata'!B$5, C212 &lt;= 'Campaign Metadata'!C$5), 'Campaign Metadata'!A$5, "No Campaign"))))</f>
        <v>CybertruckLaunch</v>
      </c>
    </row>
    <row r="213" spans="1:16" ht="15.75" customHeight="1" x14ac:dyDescent="0.3">
      <c r="A213" s="4" t="s">
        <v>310</v>
      </c>
      <c r="B213" s="4" t="s">
        <v>14</v>
      </c>
      <c r="C213" s="4" t="s">
        <v>311</v>
      </c>
      <c r="D213" s="4" t="s">
        <v>50</v>
      </c>
      <c r="E213" s="4" t="s">
        <v>129</v>
      </c>
      <c r="F213" s="4">
        <v>3170</v>
      </c>
      <c r="G213" s="4">
        <v>857</v>
      </c>
      <c r="H213" s="4">
        <v>379</v>
      </c>
      <c r="I213" s="4">
        <v>19020</v>
      </c>
      <c r="J213" s="4">
        <v>18559</v>
      </c>
      <c r="K213" s="4">
        <v>240</v>
      </c>
      <c r="L213" s="4" t="s">
        <v>60</v>
      </c>
      <c r="N213">
        <v>1.0914381162778166</v>
      </c>
      <c r="P213" t="str">
        <f>IF(AND(C213 &gt;= 'Campaign Metadata'!B$2, C213 &lt;= 'Campaign Metadata'!C$2), 'Campaign Metadata'!A$2,
 IF(AND(C213 &gt;= 'Campaign Metadata'!B$3, C213 &lt;= 'Campaign Metadata'!C$3), 'Campaign Metadata'!A$3,
 IF(AND(C213 &gt;= 'Campaign Metadata'!B$4, C213 &lt;= 'Campaign Metadata'!C$4), 'Campaign Metadata'!A$4,
 IF(AND(C213 &gt;= 'Campaign Metadata'!B$5, C213 &lt;= 'Campaign Metadata'!C$5), 'Campaign Metadata'!A$5, "No Campaign"))))</f>
        <v>No Campaign</v>
      </c>
    </row>
    <row r="214" spans="1:16" ht="15.75" customHeight="1" x14ac:dyDescent="0.3">
      <c r="A214" s="4" t="s">
        <v>157</v>
      </c>
      <c r="B214" s="4" t="s">
        <v>599</v>
      </c>
      <c r="C214" s="4" t="s">
        <v>158</v>
      </c>
      <c r="D214" s="4" t="s">
        <v>43</v>
      </c>
      <c r="E214" s="4" t="s">
        <v>66</v>
      </c>
      <c r="F214" s="4">
        <v>1686</v>
      </c>
      <c r="G214" s="4">
        <v>904</v>
      </c>
      <c r="H214" s="4">
        <v>472</v>
      </c>
      <c r="I214" s="4">
        <v>18546</v>
      </c>
      <c r="J214" s="4">
        <v>18171</v>
      </c>
      <c r="K214" s="4">
        <v>52</v>
      </c>
      <c r="L214" s="4" t="s">
        <v>60</v>
      </c>
      <c r="M214" s="4"/>
      <c r="N214">
        <v>1.0963623355896759</v>
      </c>
      <c r="P214" t="str">
        <f>IF(AND(C214 &gt;= 'Campaign Metadata'!B$2, C214 &lt;= 'Campaign Metadata'!C$2), 'Campaign Metadata'!A$2,
 IF(AND(C214 &gt;= 'Campaign Metadata'!B$3, C214 &lt;= 'Campaign Metadata'!C$3), 'Campaign Metadata'!A$3,
 IF(AND(C214 &gt;= 'Campaign Metadata'!B$4, C214 &lt;= 'Campaign Metadata'!C$4), 'Campaign Metadata'!A$4,
 IF(AND(C214 &gt;= 'Campaign Metadata'!B$5, C214 &lt;= 'Campaign Metadata'!C$5), 'Campaign Metadata'!A$5, "No Campaign"))))</f>
        <v>SustainabilityDrive</v>
      </c>
    </row>
    <row r="215" spans="1:16" ht="15.75" customHeight="1" x14ac:dyDescent="0.3">
      <c r="A215" s="4" t="s">
        <v>232</v>
      </c>
      <c r="B215" s="4" t="s">
        <v>31</v>
      </c>
      <c r="C215" s="4" t="s">
        <v>200</v>
      </c>
      <c r="D215" s="4" t="s">
        <v>50</v>
      </c>
      <c r="E215" s="4" t="s">
        <v>210</v>
      </c>
      <c r="F215" s="4">
        <v>2647</v>
      </c>
      <c r="G215" s="4">
        <v>304</v>
      </c>
      <c r="H215" s="4">
        <v>170</v>
      </c>
      <c r="I215" s="4">
        <v>18529</v>
      </c>
      <c r="J215" s="4">
        <v>17841</v>
      </c>
      <c r="K215" s="4">
        <v>46</v>
      </c>
      <c r="L215" s="4" t="s">
        <v>60</v>
      </c>
      <c r="M215" s="4"/>
      <c r="N215">
        <v>1.0651308783139959</v>
      </c>
      <c r="P215" t="str">
        <f>IF(AND(C215 &gt;= 'Campaign Metadata'!B$2, C215 &lt;= 'Campaign Metadata'!C$2), 'Campaign Metadata'!A$2,
 IF(AND(C215 &gt;= 'Campaign Metadata'!B$3, C215 &lt;= 'Campaign Metadata'!C$3), 'Campaign Metadata'!A$3,
 IF(AND(C215 &gt;= 'Campaign Metadata'!B$4, C215 &lt;= 'Campaign Metadata'!C$4), 'Campaign Metadata'!A$4,
 IF(AND(C215 &gt;= 'Campaign Metadata'!B$5, C215 &lt;= 'Campaign Metadata'!C$5), 'Campaign Metadata'!A$5, "No Campaign"))))</f>
        <v>No Campaign</v>
      </c>
    </row>
    <row r="216" spans="1:16" ht="15.75" customHeight="1" x14ac:dyDescent="0.3">
      <c r="A216" s="4" t="s">
        <v>316</v>
      </c>
      <c r="B216" s="4" t="s">
        <v>599</v>
      </c>
      <c r="C216" s="4" t="s">
        <v>317</v>
      </c>
      <c r="D216" s="4" t="s">
        <v>16</v>
      </c>
      <c r="E216" s="4" t="s">
        <v>27</v>
      </c>
      <c r="F216" s="4">
        <v>3065</v>
      </c>
      <c r="G216" s="4">
        <v>772</v>
      </c>
      <c r="H216" s="4">
        <v>142</v>
      </c>
      <c r="I216" s="4">
        <v>18390</v>
      </c>
      <c r="J216" s="4">
        <v>17875</v>
      </c>
      <c r="K216" s="4">
        <v>200</v>
      </c>
      <c r="L216" s="4" t="s">
        <v>35</v>
      </c>
      <c r="M216" s="5" t="s">
        <v>600</v>
      </c>
      <c r="N216">
        <v>1.0799440559440558</v>
      </c>
      <c r="P216" t="str">
        <f>IF(AND(C216 &gt;= 'Campaign Metadata'!B$2, C216 &lt;= 'Campaign Metadata'!C$2), 'Campaign Metadata'!A$2,
 IF(AND(C216 &gt;= 'Campaign Metadata'!B$3, C216 &lt;= 'Campaign Metadata'!C$3), 'Campaign Metadata'!A$3,
 IF(AND(C216 &gt;= 'Campaign Metadata'!B$4, C216 &lt;= 'Campaign Metadata'!C$4), 'Campaign Metadata'!A$4,
 IF(AND(C216 &gt;= 'Campaign Metadata'!B$5, C216 &lt;= 'Campaign Metadata'!C$5), 'Campaign Metadata'!A$5, "No Campaign"))))</f>
        <v>No Campaign</v>
      </c>
    </row>
    <row r="217" spans="1:16" ht="15.75" customHeight="1" x14ac:dyDescent="0.3">
      <c r="A217" s="4" t="s">
        <v>308</v>
      </c>
      <c r="B217" s="4" t="s">
        <v>41</v>
      </c>
      <c r="C217" s="4" t="s">
        <v>309</v>
      </c>
      <c r="D217" s="4" t="s">
        <v>50</v>
      </c>
      <c r="E217" s="4" t="s">
        <v>57</v>
      </c>
      <c r="F217" s="4">
        <v>2291</v>
      </c>
      <c r="G217" s="4">
        <v>78</v>
      </c>
      <c r="H217" s="4">
        <v>485</v>
      </c>
      <c r="I217" s="4">
        <v>18328</v>
      </c>
      <c r="J217" s="4">
        <v>18101</v>
      </c>
      <c r="K217" s="4">
        <v>10</v>
      </c>
      <c r="L217" s="4" t="s">
        <v>35</v>
      </c>
      <c r="M217" s="4" t="s">
        <v>593</v>
      </c>
      <c r="N217">
        <v>1.0436439975691951</v>
      </c>
      <c r="P217" t="str">
        <f>IF(AND(C217 &gt;= 'Campaign Metadata'!B$2, C217 &lt;= 'Campaign Metadata'!C$2), 'Campaign Metadata'!A$2,
 IF(AND(C217 &gt;= 'Campaign Metadata'!B$3, C217 &lt;= 'Campaign Metadata'!C$3), 'Campaign Metadata'!A$3,
 IF(AND(C217 &gt;= 'Campaign Metadata'!B$4, C217 &lt;= 'Campaign Metadata'!C$4), 'Campaign Metadata'!A$4,
 IF(AND(C217 &gt;= 'Campaign Metadata'!B$5, C217 &lt;= 'Campaign Metadata'!C$5), 'Campaign Metadata'!A$5, "No Campaign"))))</f>
        <v>CybertruckLaunch</v>
      </c>
    </row>
    <row r="218" spans="1:16" ht="15.75" customHeight="1" x14ac:dyDescent="0.3">
      <c r="A218" s="4" t="s">
        <v>357</v>
      </c>
      <c r="B218" s="4" t="s">
        <v>599</v>
      </c>
      <c r="C218" s="4" t="s">
        <v>358</v>
      </c>
      <c r="D218" s="4" t="s">
        <v>72</v>
      </c>
      <c r="E218" s="4" t="s">
        <v>213</v>
      </c>
      <c r="F218" s="4">
        <v>1018</v>
      </c>
      <c r="G218" s="4">
        <v>447</v>
      </c>
      <c r="H218" s="4">
        <v>332</v>
      </c>
      <c r="I218" s="4">
        <v>18324</v>
      </c>
      <c r="J218" s="4">
        <v>18164</v>
      </c>
      <c r="K218" s="4">
        <v>38</v>
      </c>
      <c r="L218" s="4" t="s">
        <v>60</v>
      </c>
      <c r="M218" s="4"/>
      <c r="N218">
        <v>1.0516956617485136</v>
      </c>
      <c r="P218" t="str">
        <f>IF(AND(C218 &gt;= 'Campaign Metadata'!B$2, C218 &lt;= 'Campaign Metadata'!C$2), 'Campaign Metadata'!A$2,
 IF(AND(C218 &gt;= 'Campaign Metadata'!B$3, C218 &lt;= 'Campaign Metadata'!C$3), 'Campaign Metadata'!A$3,
 IF(AND(C218 &gt;= 'Campaign Metadata'!B$4, C218 &lt;= 'Campaign Metadata'!C$4), 'Campaign Metadata'!A$4,
 IF(AND(C218 &gt;= 'Campaign Metadata'!B$5, C218 &lt;= 'Campaign Metadata'!C$5), 'Campaign Metadata'!A$5, "No Campaign"))))</f>
        <v>FSDUpdate</v>
      </c>
    </row>
    <row r="219" spans="1:16" ht="15.75" customHeight="1" x14ac:dyDescent="0.3">
      <c r="A219" s="4" t="s">
        <v>265</v>
      </c>
      <c r="B219" s="4" t="s">
        <v>14</v>
      </c>
      <c r="C219" s="4" t="s">
        <v>266</v>
      </c>
      <c r="D219" s="4" t="s">
        <v>33</v>
      </c>
      <c r="E219" s="4" t="s">
        <v>146</v>
      </c>
      <c r="F219" s="4">
        <v>1957</v>
      </c>
      <c r="G219" s="4">
        <v>877</v>
      </c>
      <c r="H219" s="4">
        <v>238</v>
      </c>
      <c r="I219" s="4">
        <v>17613</v>
      </c>
      <c r="J219" s="4">
        <v>16865</v>
      </c>
      <c r="K219" s="4">
        <v>297</v>
      </c>
      <c r="L219" s="4" t="s">
        <v>60</v>
      </c>
      <c r="M219" s="4"/>
      <c r="N219">
        <v>1.1104654610139342</v>
      </c>
      <c r="P219" t="str">
        <f>IF(AND(C219 &gt;= 'Campaign Metadata'!B$2, C219 &lt;= 'Campaign Metadata'!C$2), 'Campaign Metadata'!A$2,
 IF(AND(C219 &gt;= 'Campaign Metadata'!B$3, C219 &lt;= 'Campaign Metadata'!C$3), 'Campaign Metadata'!A$3,
 IF(AND(C219 &gt;= 'Campaign Metadata'!B$4, C219 &lt;= 'Campaign Metadata'!C$4), 'Campaign Metadata'!A$4,
 IF(AND(C219 &gt;= 'Campaign Metadata'!B$5, C219 &lt;= 'Campaign Metadata'!C$5), 'Campaign Metadata'!A$5, "No Campaign"))))</f>
        <v>ModelYCampaign</v>
      </c>
    </row>
    <row r="220" spans="1:16" ht="15.75" customHeight="1" x14ac:dyDescent="0.3">
      <c r="A220" s="4" t="s">
        <v>514</v>
      </c>
      <c r="B220" s="4" t="s">
        <v>41</v>
      </c>
      <c r="C220" s="4" t="s">
        <v>488</v>
      </c>
      <c r="D220" s="4" t="s">
        <v>16</v>
      </c>
      <c r="E220" s="4" t="s">
        <v>63</v>
      </c>
      <c r="F220" s="4">
        <v>1741</v>
      </c>
      <c r="G220" s="4">
        <v>831</v>
      </c>
      <c r="H220" s="4">
        <v>345</v>
      </c>
      <c r="I220" s="4">
        <v>17410</v>
      </c>
      <c r="J220" s="4">
        <v>16844</v>
      </c>
      <c r="K220" s="4">
        <v>58</v>
      </c>
      <c r="L220" s="4" t="s">
        <v>35</v>
      </c>
      <c r="M220" s="4"/>
      <c r="N220">
        <v>1.1034196152932796</v>
      </c>
      <c r="P220" t="str">
        <f>IF(AND(C220 &gt;= 'Campaign Metadata'!B$2, C220 &lt;= 'Campaign Metadata'!C$2), 'Campaign Metadata'!A$2,
 IF(AND(C220 &gt;= 'Campaign Metadata'!B$3, C220 &lt;= 'Campaign Metadata'!C$3), 'Campaign Metadata'!A$3,
 IF(AND(C220 &gt;= 'Campaign Metadata'!B$4, C220 &lt;= 'Campaign Metadata'!C$4), 'Campaign Metadata'!A$4,
 IF(AND(C220 &gt;= 'Campaign Metadata'!B$5, C220 &lt;= 'Campaign Metadata'!C$5), 'Campaign Metadata'!A$5, "No Campaign"))))</f>
        <v>No Campaign</v>
      </c>
    </row>
    <row r="221" spans="1:16" ht="15.75" customHeight="1" x14ac:dyDescent="0.3">
      <c r="A221" s="4" t="s">
        <v>291</v>
      </c>
      <c r="B221" s="4" t="s">
        <v>14</v>
      </c>
      <c r="C221" s="4" t="s">
        <v>62</v>
      </c>
      <c r="D221" s="4" t="s">
        <v>21</v>
      </c>
      <c r="E221" s="4" t="s">
        <v>22</v>
      </c>
      <c r="F221" s="4">
        <v>2147</v>
      </c>
      <c r="G221" s="4">
        <v>430</v>
      </c>
      <c r="H221" s="4">
        <v>393</v>
      </c>
      <c r="I221" s="4">
        <v>17176</v>
      </c>
      <c r="J221" s="4">
        <v>16483</v>
      </c>
      <c r="K221" s="4">
        <v>170</v>
      </c>
      <c r="L221" s="4" t="s">
        <v>28</v>
      </c>
      <c r="N221">
        <v>1.0919735485045199</v>
      </c>
      <c r="P221" t="str">
        <f>IF(AND(C221 &gt;= 'Campaign Metadata'!B$2, C221 &lt;= 'Campaign Metadata'!C$2), 'Campaign Metadata'!A$2,
 IF(AND(C221 &gt;= 'Campaign Metadata'!B$3, C221 &lt;= 'Campaign Metadata'!C$3), 'Campaign Metadata'!A$3,
 IF(AND(C221 &gt;= 'Campaign Metadata'!B$4, C221 &lt;= 'Campaign Metadata'!C$4), 'Campaign Metadata'!A$4,
 IF(AND(C221 &gt;= 'Campaign Metadata'!B$5, C221 &lt;= 'Campaign Metadata'!C$5), 'Campaign Metadata'!A$5, "No Campaign"))))</f>
        <v>No Campaign</v>
      </c>
    </row>
    <row r="222" spans="1:16" ht="15.75" customHeight="1" x14ac:dyDescent="0.3">
      <c r="A222" s="4" t="s">
        <v>113</v>
      </c>
      <c r="B222" s="4" t="s">
        <v>41</v>
      </c>
      <c r="C222" s="4" t="s">
        <v>114</v>
      </c>
      <c r="D222" s="4" t="s">
        <v>50</v>
      </c>
      <c r="E222" s="4" t="s">
        <v>57</v>
      </c>
      <c r="F222" s="4">
        <v>1407</v>
      </c>
      <c r="G222" s="4">
        <v>400</v>
      </c>
      <c r="H222" s="4">
        <v>351</v>
      </c>
      <c r="I222" s="4">
        <v>16884</v>
      </c>
      <c r="J222" s="4">
        <v>15954</v>
      </c>
      <c r="K222" s="4">
        <v>113</v>
      </c>
      <c r="L222" s="4" t="s">
        <v>28</v>
      </c>
      <c r="M222" s="4"/>
      <c r="N222">
        <v>1.1053654255985961</v>
      </c>
      <c r="P222" t="str">
        <f>IF(AND(C222 &gt;= 'Campaign Metadata'!B$2, C222 &lt;= 'Campaign Metadata'!C$2), 'Campaign Metadata'!A$2,
 IF(AND(C222 &gt;= 'Campaign Metadata'!B$3, C222 &lt;= 'Campaign Metadata'!C$3), 'Campaign Metadata'!A$3,
 IF(AND(C222 &gt;= 'Campaign Metadata'!B$4, C222 &lt;= 'Campaign Metadata'!C$4), 'Campaign Metadata'!A$4,
 IF(AND(C222 &gt;= 'Campaign Metadata'!B$5, C222 &lt;= 'Campaign Metadata'!C$5), 'Campaign Metadata'!A$5, "No Campaign"))))</f>
        <v>No Campaign</v>
      </c>
    </row>
    <row r="223" spans="1:16" ht="15.75" customHeight="1" x14ac:dyDescent="0.3">
      <c r="A223" s="4" t="s">
        <v>460</v>
      </c>
      <c r="B223" s="4" t="s">
        <v>14</v>
      </c>
      <c r="C223" s="4" t="s">
        <v>75</v>
      </c>
      <c r="D223" s="4" t="s">
        <v>43</v>
      </c>
      <c r="E223" s="4" t="s">
        <v>47</v>
      </c>
      <c r="F223" s="4">
        <v>929</v>
      </c>
      <c r="G223" s="4">
        <v>192</v>
      </c>
      <c r="H223" s="4">
        <v>322</v>
      </c>
      <c r="I223" s="4">
        <v>16722</v>
      </c>
      <c r="J223" s="4">
        <v>15996</v>
      </c>
      <c r="K223" s="4">
        <v>145</v>
      </c>
      <c r="L223" s="4" t="s">
        <v>35</v>
      </c>
      <c r="M223" s="4" t="s">
        <v>28</v>
      </c>
      <c r="N223">
        <v>1.0775193798449612</v>
      </c>
      <c r="P223" t="str">
        <f>IF(AND(C223 &gt;= 'Campaign Metadata'!B$2, C223 &lt;= 'Campaign Metadata'!C$2), 'Campaign Metadata'!A$2,
 IF(AND(C223 &gt;= 'Campaign Metadata'!B$3, C223 &lt;= 'Campaign Metadata'!C$3), 'Campaign Metadata'!A$3,
 IF(AND(C223 &gt;= 'Campaign Metadata'!B$4, C223 &lt;= 'Campaign Metadata'!C$4), 'Campaign Metadata'!A$4,
 IF(AND(C223 &gt;= 'Campaign Metadata'!B$5, C223 &lt;= 'Campaign Metadata'!C$5), 'Campaign Metadata'!A$5, "No Campaign"))))</f>
        <v>No Campaign</v>
      </c>
    </row>
    <row r="224" spans="1:16" ht="15.75" customHeight="1" x14ac:dyDescent="0.3">
      <c r="A224" s="4" t="s">
        <v>479</v>
      </c>
      <c r="B224" s="4" t="s">
        <v>41</v>
      </c>
      <c r="C224" s="4" t="s">
        <v>356</v>
      </c>
      <c r="D224" s="4" t="s">
        <v>43</v>
      </c>
      <c r="E224" s="4" t="s">
        <v>44</v>
      </c>
      <c r="F224" s="4">
        <v>2089</v>
      </c>
      <c r="G224" s="4">
        <v>476</v>
      </c>
      <c r="H224" s="4">
        <v>69</v>
      </c>
      <c r="I224" s="4">
        <v>16712</v>
      </c>
      <c r="J224" s="4">
        <v>16309</v>
      </c>
      <c r="K224" s="4">
        <v>64</v>
      </c>
      <c r="L224" s="4" t="s">
        <v>60</v>
      </c>
      <c r="M224" s="4"/>
      <c r="N224">
        <v>1.0581274143111166</v>
      </c>
      <c r="P224" t="str">
        <f>IF(AND(C224 &gt;= 'Campaign Metadata'!B$2, C224 &lt;= 'Campaign Metadata'!C$2), 'Campaign Metadata'!A$2,
 IF(AND(C224 &gt;= 'Campaign Metadata'!B$3, C224 &lt;= 'Campaign Metadata'!C$3), 'Campaign Metadata'!A$3,
 IF(AND(C224 &gt;= 'Campaign Metadata'!B$4, C224 &lt;= 'Campaign Metadata'!C$4), 'Campaign Metadata'!A$4,
 IF(AND(C224 &gt;= 'Campaign Metadata'!B$5, C224 &lt;= 'Campaign Metadata'!C$5), 'Campaign Metadata'!A$5, "No Campaign"))))</f>
        <v>No Campaign</v>
      </c>
    </row>
    <row r="225" spans="1:16" ht="15.75" customHeight="1" x14ac:dyDescent="0.3">
      <c r="A225" s="4" t="s">
        <v>195</v>
      </c>
      <c r="B225" s="4" t="s">
        <v>599</v>
      </c>
      <c r="C225" s="4" t="s">
        <v>196</v>
      </c>
      <c r="D225" s="4" t="s">
        <v>16</v>
      </c>
      <c r="E225" s="4" t="s">
        <v>27</v>
      </c>
      <c r="F225" s="4">
        <v>1855</v>
      </c>
      <c r="G225" s="4">
        <v>200</v>
      </c>
      <c r="H225" s="4">
        <v>174</v>
      </c>
      <c r="I225" s="4">
        <v>16695</v>
      </c>
      <c r="J225" s="4">
        <v>16330</v>
      </c>
      <c r="K225" s="4">
        <v>123</v>
      </c>
      <c r="L225" s="4" t="s">
        <v>28</v>
      </c>
      <c r="M225" s="4"/>
      <c r="N225">
        <v>1.0452541334966319</v>
      </c>
      <c r="P225" t="str">
        <f>IF(AND(C225 &gt;= 'Campaign Metadata'!B$2, C225 &lt;= 'Campaign Metadata'!C$2), 'Campaign Metadata'!A$2,
 IF(AND(C225 &gt;= 'Campaign Metadata'!B$3, C225 &lt;= 'Campaign Metadata'!C$3), 'Campaign Metadata'!A$3,
 IF(AND(C225 &gt;= 'Campaign Metadata'!B$4, C225 &lt;= 'Campaign Metadata'!C$4), 'Campaign Metadata'!A$4,
 IF(AND(C225 &gt;= 'Campaign Metadata'!B$5, C225 &lt;= 'Campaign Metadata'!C$5), 'Campaign Metadata'!A$5, "No Campaign"))))</f>
        <v>ModelYCampaign</v>
      </c>
    </row>
    <row r="226" spans="1:16" ht="15.75" customHeight="1" x14ac:dyDescent="0.3">
      <c r="A226" s="4" t="s">
        <v>81</v>
      </c>
      <c r="B226" s="4" t="s">
        <v>31</v>
      </c>
      <c r="C226" s="4" t="s">
        <v>82</v>
      </c>
      <c r="D226" s="4" t="s">
        <v>72</v>
      </c>
      <c r="E226" s="4" t="s">
        <v>83</v>
      </c>
      <c r="F226" s="4">
        <v>1071</v>
      </c>
      <c r="G226" s="4">
        <v>519</v>
      </c>
      <c r="H226" s="4">
        <v>22</v>
      </c>
      <c r="I226" s="4">
        <v>16065</v>
      </c>
      <c r="J226" s="4">
        <v>15865</v>
      </c>
      <c r="K226" s="4">
        <v>103</v>
      </c>
      <c r="L226" s="4" t="s">
        <v>28</v>
      </c>
      <c r="M226" s="4"/>
      <c r="N226">
        <v>1.0467065868263472</v>
      </c>
      <c r="P226" t="str">
        <f>IF(AND(C226 &gt;= 'Campaign Metadata'!B$2, C226 &lt;= 'Campaign Metadata'!C$2), 'Campaign Metadata'!A$2,
 IF(AND(C226 &gt;= 'Campaign Metadata'!B$3, C226 &lt;= 'Campaign Metadata'!C$3), 'Campaign Metadata'!A$3,
 IF(AND(C226 &gt;= 'Campaign Metadata'!B$4, C226 &lt;= 'Campaign Metadata'!C$4), 'Campaign Metadata'!A$4,
 IF(AND(C226 &gt;= 'Campaign Metadata'!B$5, C226 &lt;= 'Campaign Metadata'!C$5), 'Campaign Metadata'!A$5, "No Campaign"))))</f>
        <v>CybertruckLaunch</v>
      </c>
    </row>
    <row r="227" spans="1:16" ht="15.75" customHeight="1" x14ac:dyDescent="0.3">
      <c r="A227" s="4" t="s">
        <v>361</v>
      </c>
      <c r="B227" s="4" t="s">
        <v>14</v>
      </c>
      <c r="C227" s="4" t="s">
        <v>362</v>
      </c>
      <c r="D227" s="4" t="s">
        <v>72</v>
      </c>
      <c r="E227" s="4" t="s">
        <v>142</v>
      </c>
      <c r="F227" s="4">
        <v>1330</v>
      </c>
      <c r="G227" s="4">
        <v>925</v>
      </c>
      <c r="H227" s="4">
        <v>35</v>
      </c>
      <c r="I227" s="4">
        <v>15960</v>
      </c>
      <c r="J227" s="4">
        <v>15379</v>
      </c>
      <c r="K227" s="4">
        <v>229</v>
      </c>
      <c r="L227" s="4" t="s">
        <v>60</v>
      </c>
      <c r="M227" s="4"/>
      <c r="N227">
        <v>1.1002015735743547</v>
      </c>
      <c r="P227" t="str">
        <f>IF(AND(C227 &gt;= 'Campaign Metadata'!B$2, C227 &lt;= 'Campaign Metadata'!C$2), 'Campaign Metadata'!A$2,
 IF(AND(C227 &gt;= 'Campaign Metadata'!B$3, C227 &lt;= 'Campaign Metadata'!C$3), 'Campaign Metadata'!A$3,
 IF(AND(C227 &gt;= 'Campaign Metadata'!B$4, C227 &lt;= 'Campaign Metadata'!C$4), 'Campaign Metadata'!A$4,
 IF(AND(C227 &gt;= 'Campaign Metadata'!B$5, C227 &lt;= 'Campaign Metadata'!C$5), 'Campaign Metadata'!A$5, "No Campaign"))))</f>
        <v>No Campaign</v>
      </c>
    </row>
    <row r="228" spans="1:16" ht="15.75" customHeight="1" x14ac:dyDescent="0.3">
      <c r="A228" s="4" t="s">
        <v>199</v>
      </c>
      <c r="B228" s="4" t="s">
        <v>14</v>
      </c>
      <c r="C228" s="4" t="s">
        <v>200</v>
      </c>
      <c r="D228" s="4" t="s">
        <v>33</v>
      </c>
      <c r="E228" s="4" t="s">
        <v>146</v>
      </c>
      <c r="F228" s="4">
        <v>1121</v>
      </c>
      <c r="G228" s="4">
        <v>135</v>
      </c>
      <c r="H228" s="4">
        <v>18</v>
      </c>
      <c r="I228" s="4">
        <v>15694</v>
      </c>
      <c r="J228" s="4">
        <v>14957</v>
      </c>
      <c r="K228" s="4">
        <v>99</v>
      </c>
      <c r="L228" s="4" t="s">
        <v>28</v>
      </c>
      <c r="M228" s="4"/>
      <c r="N228">
        <v>1.0595039112121414</v>
      </c>
      <c r="P228" t="str">
        <f>IF(AND(C228 &gt;= 'Campaign Metadata'!B$2, C228 &lt;= 'Campaign Metadata'!C$2), 'Campaign Metadata'!A$2,
 IF(AND(C228 &gt;= 'Campaign Metadata'!B$3, C228 &lt;= 'Campaign Metadata'!C$3), 'Campaign Metadata'!A$3,
 IF(AND(C228 &gt;= 'Campaign Metadata'!B$4, C228 &lt;= 'Campaign Metadata'!C$4), 'Campaign Metadata'!A$4,
 IF(AND(C228 &gt;= 'Campaign Metadata'!B$5, C228 &lt;= 'Campaign Metadata'!C$5), 'Campaign Metadata'!A$5, "No Campaign"))))</f>
        <v>No Campaign</v>
      </c>
    </row>
    <row r="229" spans="1:16" ht="15.75" customHeight="1" x14ac:dyDescent="0.3">
      <c r="A229" s="4" t="s">
        <v>184</v>
      </c>
      <c r="B229" s="4" t="s">
        <v>31</v>
      </c>
      <c r="C229" s="4" t="s">
        <v>185</v>
      </c>
      <c r="D229" s="4" t="s">
        <v>33</v>
      </c>
      <c r="E229" s="4" t="s">
        <v>34</v>
      </c>
      <c r="F229" s="4">
        <v>2610</v>
      </c>
      <c r="G229" s="4">
        <v>126</v>
      </c>
      <c r="H229" s="4">
        <v>288</v>
      </c>
      <c r="I229" s="4">
        <v>15660</v>
      </c>
      <c r="J229" s="4">
        <v>15145</v>
      </c>
      <c r="K229" s="4">
        <v>73</v>
      </c>
      <c r="L229" s="4" t="s">
        <v>35</v>
      </c>
      <c r="N229">
        <v>1.0613403763618356</v>
      </c>
      <c r="P229" t="str">
        <f>IF(AND(C229 &gt;= 'Campaign Metadata'!B$2, C229 &lt;= 'Campaign Metadata'!C$2), 'Campaign Metadata'!A$2,
 IF(AND(C229 &gt;= 'Campaign Metadata'!B$3, C229 &lt;= 'Campaign Metadata'!C$3), 'Campaign Metadata'!A$3,
 IF(AND(C229 &gt;= 'Campaign Metadata'!B$4, C229 &lt;= 'Campaign Metadata'!C$4), 'Campaign Metadata'!A$4,
 IF(AND(C229 &gt;= 'Campaign Metadata'!B$5, C229 &lt;= 'Campaign Metadata'!C$5), 'Campaign Metadata'!A$5, "No Campaign"))))</f>
        <v>No Campaign</v>
      </c>
    </row>
    <row r="230" spans="1:16" ht="15.75" customHeight="1" x14ac:dyDescent="0.3">
      <c r="A230" s="4" t="s">
        <v>545</v>
      </c>
      <c r="B230" s="4" t="s">
        <v>14</v>
      </c>
      <c r="C230" s="4" t="s">
        <v>427</v>
      </c>
      <c r="D230" s="4" t="s">
        <v>50</v>
      </c>
      <c r="E230" s="4" t="s">
        <v>129</v>
      </c>
      <c r="F230" s="4">
        <v>1952</v>
      </c>
      <c r="G230" s="4">
        <v>344</v>
      </c>
      <c r="H230" s="4">
        <v>287</v>
      </c>
      <c r="I230" s="4">
        <v>15616</v>
      </c>
      <c r="J230" s="4">
        <v>15403</v>
      </c>
      <c r="K230" s="4">
        <v>235</v>
      </c>
      <c r="L230" s="4" t="s">
        <v>60</v>
      </c>
      <c r="M230" s="4" t="s">
        <v>28</v>
      </c>
      <c r="N230">
        <v>1.0547945205479452</v>
      </c>
      <c r="P230" t="str">
        <f>IF(AND(C230 &gt;= 'Campaign Metadata'!B$2, C230 &lt;= 'Campaign Metadata'!C$2), 'Campaign Metadata'!A$2,
 IF(AND(C230 &gt;= 'Campaign Metadata'!B$3, C230 &lt;= 'Campaign Metadata'!C$3), 'Campaign Metadata'!A$3,
 IF(AND(C230 &gt;= 'Campaign Metadata'!B$4, C230 &lt;= 'Campaign Metadata'!C$4), 'Campaign Metadata'!A$4,
 IF(AND(C230 &gt;= 'Campaign Metadata'!B$5, C230 &lt;= 'Campaign Metadata'!C$5), 'Campaign Metadata'!A$5, "No Campaign"))))</f>
        <v>No Campaign</v>
      </c>
    </row>
    <row r="231" spans="1:16" ht="15.75" customHeight="1" x14ac:dyDescent="0.3">
      <c r="A231" s="4" t="s">
        <v>223</v>
      </c>
      <c r="B231" s="4" t="s">
        <v>14</v>
      </c>
      <c r="C231" s="4" t="s">
        <v>224</v>
      </c>
      <c r="D231" s="4" t="s">
        <v>50</v>
      </c>
      <c r="E231" s="4" t="s">
        <v>129</v>
      </c>
      <c r="F231" s="4">
        <v>2214</v>
      </c>
      <c r="G231" s="4">
        <v>249</v>
      </c>
      <c r="H231" s="4">
        <v>152</v>
      </c>
      <c r="I231" s="4">
        <v>15498</v>
      </c>
      <c r="J231" s="4">
        <v>14800</v>
      </c>
      <c r="K231" s="4">
        <v>180</v>
      </c>
      <c r="L231" s="4" t="s">
        <v>35</v>
      </c>
      <c r="N231">
        <v>1.0742567567567567</v>
      </c>
      <c r="P231" t="str">
        <f>IF(AND(C231 &gt;= 'Campaign Metadata'!B$2, C231 &lt;= 'Campaign Metadata'!C$2), 'Campaign Metadata'!A$2,
 IF(AND(C231 &gt;= 'Campaign Metadata'!B$3, C231 &lt;= 'Campaign Metadata'!C$3), 'Campaign Metadata'!A$3,
 IF(AND(C231 &gt;= 'Campaign Metadata'!B$4, C231 &lt;= 'Campaign Metadata'!C$4), 'Campaign Metadata'!A$4,
 IF(AND(C231 &gt;= 'Campaign Metadata'!B$5, C231 &lt;= 'Campaign Metadata'!C$5), 'Campaign Metadata'!A$5, "No Campaign"))))</f>
        <v>FSDUpdate</v>
      </c>
    </row>
    <row r="232" spans="1:16" ht="15.75" customHeight="1" x14ac:dyDescent="0.3">
      <c r="A232" s="4" t="s">
        <v>304</v>
      </c>
      <c r="B232" s="4" t="s">
        <v>41</v>
      </c>
      <c r="C232" s="4" t="s">
        <v>112</v>
      </c>
      <c r="D232" s="4" t="s">
        <v>72</v>
      </c>
      <c r="E232" s="4" t="s">
        <v>73</v>
      </c>
      <c r="F232" s="4">
        <v>3008</v>
      </c>
      <c r="G232" s="4">
        <v>94</v>
      </c>
      <c r="H232" s="4">
        <v>37</v>
      </c>
      <c r="I232" s="4">
        <v>15040</v>
      </c>
      <c r="J232" s="4">
        <v>14639</v>
      </c>
      <c r="K232" s="4">
        <v>277</v>
      </c>
      <c r="L232" s="4" t="s">
        <v>60</v>
      </c>
      <c r="N232">
        <v>1.0363412801420862</v>
      </c>
      <c r="P232" t="str">
        <f>IF(AND(C232 &gt;= 'Campaign Metadata'!B$2, C232 &lt;= 'Campaign Metadata'!C$2), 'Campaign Metadata'!A$2,
 IF(AND(C232 &gt;= 'Campaign Metadata'!B$3, C232 &lt;= 'Campaign Metadata'!C$3), 'Campaign Metadata'!A$3,
 IF(AND(C232 &gt;= 'Campaign Metadata'!B$4, C232 &lt;= 'Campaign Metadata'!C$4), 'Campaign Metadata'!A$4,
 IF(AND(C232 &gt;= 'Campaign Metadata'!B$5, C232 &lt;= 'Campaign Metadata'!C$5), 'Campaign Metadata'!A$5, "No Campaign"))))</f>
        <v>No Campaign</v>
      </c>
    </row>
    <row r="233" spans="1:16" ht="15.75" customHeight="1" x14ac:dyDescent="0.3">
      <c r="A233" s="4" t="s">
        <v>430</v>
      </c>
      <c r="B233" s="4" t="s">
        <v>41</v>
      </c>
      <c r="C233" s="4" t="s">
        <v>248</v>
      </c>
      <c r="D233" s="4" t="s">
        <v>43</v>
      </c>
      <c r="E233" s="4" t="s">
        <v>44</v>
      </c>
      <c r="F233" s="4">
        <v>1869</v>
      </c>
      <c r="G233" s="4">
        <v>453</v>
      </c>
      <c r="H233" s="4">
        <v>490</v>
      </c>
      <c r="I233" s="4">
        <v>14952</v>
      </c>
      <c r="J233" s="4">
        <v>14309</v>
      </c>
      <c r="K233" s="4">
        <v>275</v>
      </c>
      <c r="L233" s="4" t="s">
        <v>28</v>
      </c>
      <c r="M233" s="4"/>
      <c r="N233">
        <v>1.1108393318890208</v>
      </c>
      <c r="P233" t="str">
        <f>IF(AND(C233 &gt;= 'Campaign Metadata'!B$2, C233 &lt;= 'Campaign Metadata'!C$2), 'Campaign Metadata'!A$2,
 IF(AND(C233 &gt;= 'Campaign Metadata'!B$3, C233 &lt;= 'Campaign Metadata'!C$3), 'Campaign Metadata'!A$3,
 IF(AND(C233 &gt;= 'Campaign Metadata'!B$4, C233 &lt;= 'Campaign Metadata'!C$4), 'Campaign Metadata'!A$4,
 IF(AND(C233 &gt;= 'Campaign Metadata'!B$5, C233 &lt;= 'Campaign Metadata'!C$5), 'Campaign Metadata'!A$5, "No Campaign"))))</f>
        <v>No Campaign</v>
      </c>
    </row>
    <row r="234" spans="1:16" ht="15.75" customHeight="1" x14ac:dyDescent="0.3">
      <c r="A234" s="4" t="s">
        <v>475</v>
      </c>
      <c r="B234" s="4" t="s">
        <v>14</v>
      </c>
      <c r="C234" s="4" t="s">
        <v>421</v>
      </c>
      <c r="D234" s="4" t="s">
        <v>50</v>
      </c>
      <c r="E234" s="4" t="s">
        <v>129</v>
      </c>
      <c r="F234" s="4">
        <v>827</v>
      </c>
      <c r="G234" s="4">
        <v>77</v>
      </c>
      <c r="H234" s="4">
        <v>402</v>
      </c>
      <c r="I234" s="4">
        <v>14886</v>
      </c>
      <c r="J234" s="4">
        <v>14129</v>
      </c>
      <c r="K234" s="4">
        <v>254</v>
      </c>
      <c r="L234" s="4" t="s">
        <v>35</v>
      </c>
      <c r="M234" s="4"/>
      <c r="N234">
        <v>1.0874796517800269</v>
      </c>
      <c r="P234" t="str">
        <f>IF(AND(C234 &gt;= 'Campaign Metadata'!B$2, C234 &lt;= 'Campaign Metadata'!C$2), 'Campaign Metadata'!A$2,
 IF(AND(C234 &gt;= 'Campaign Metadata'!B$3, C234 &lt;= 'Campaign Metadata'!C$3), 'Campaign Metadata'!A$3,
 IF(AND(C234 &gt;= 'Campaign Metadata'!B$4, C234 &lt;= 'Campaign Metadata'!C$4), 'Campaign Metadata'!A$4,
 IF(AND(C234 &gt;= 'Campaign Metadata'!B$5, C234 &lt;= 'Campaign Metadata'!C$5), 'Campaign Metadata'!A$5, "No Campaign"))))</f>
        <v>No Campaign</v>
      </c>
    </row>
    <row r="235" spans="1:16" ht="15.75" customHeight="1" x14ac:dyDescent="0.3">
      <c r="A235" s="4" t="s">
        <v>159</v>
      </c>
      <c r="B235" s="4" t="s">
        <v>41</v>
      </c>
      <c r="C235" s="4" t="s">
        <v>160</v>
      </c>
      <c r="D235" s="4" t="s">
        <v>50</v>
      </c>
      <c r="E235" s="4" t="s">
        <v>57</v>
      </c>
      <c r="F235" s="4">
        <v>1226</v>
      </c>
      <c r="G235" s="4">
        <v>119</v>
      </c>
      <c r="H235" s="4">
        <v>7</v>
      </c>
      <c r="I235" s="4">
        <v>14712</v>
      </c>
      <c r="J235" s="4">
        <v>14049</v>
      </c>
      <c r="K235" s="4">
        <v>123</v>
      </c>
      <c r="L235" s="4" t="s">
        <v>35</v>
      </c>
      <c r="M235" s="4"/>
      <c r="N235">
        <v>1.056160580824258</v>
      </c>
      <c r="P235" t="str">
        <f>IF(AND(C235 &gt;= 'Campaign Metadata'!B$2, C235 &lt;= 'Campaign Metadata'!C$2), 'Campaign Metadata'!A$2,
 IF(AND(C235 &gt;= 'Campaign Metadata'!B$3, C235 &lt;= 'Campaign Metadata'!C$3), 'Campaign Metadata'!A$3,
 IF(AND(C235 &gt;= 'Campaign Metadata'!B$4, C235 &lt;= 'Campaign Metadata'!C$4), 'Campaign Metadata'!A$4,
 IF(AND(C235 &gt;= 'Campaign Metadata'!B$5, C235 &lt;= 'Campaign Metadata'!C$5), 'Campaign Metadata'!A$5, "No Campaign"))))</f>
        <v>CybertruckLaunch</v>
      </c>
    </row>
    <row r="236" spans="1:16" ht="15.75" customHeight="1" x14ac:dyDescent="0.3">
      <c r="A236" s="4" t="s">
        <v>208</v>
      </c>
      <c r="B236" s="4" t="s">
        <v>31</v>
      </c>
      <c r="C236" s="4" t="s">
        <v>209</v>
      </c>
      <c r="D236" s="4" t="s">
        <v>50</v>
      </c>
      <c r="E236" s="4" t="s">
        <v>210</v>
      </c>
      <c r="F236" s="4">
        <v>725</v>
      </c>
      <c r="G236" s="4">
        <v>88</v>
      </c>
      <c r="H236" s="4">
        <v>428</v>
      </c>
      <c r="I236" s="4">
        <v>14500</v>
      </c>
      <c r="J236" s="4">
        <v>13637</v>
      </c>
      <c r="K236" s="4">
        <v>200</v>
      </c>
      <c r="L236" s="4" t="s">
        <v>60</v>
      </c>
      <c r="M236" s="4" t="s">
        <v>28</v>
      </c>
      <c r="N236">
        <v>1.1011219476424434</v>
      </c>
      <c r="P236" t="str">
        <f>IF(AND(C236 &gt;= 'Campaign Metadata'!B$2, C236 &lt;= 'Campaign Metadata'!C$2), 'Campaign Metadata'!A$2,
 IF(AND(C236 &gt;= 'Campaign Metadata'!B$3, C236 &lt;= 'Campaign Metadata'!C$3), 'Campaign Metadata'!A$3,
 IF(AND(C236 &gt;= 'Campaign Metadata'!B$4, C236 &lt;= 'Campaign Metadata'!C$4), 'Campaign Metadata'!A$4,
 IF(AND(C236 &gt;= 'Campaign Metadata'!B$5, C236 &lt;= 'Campaign Metadata'!C$5), 'Campaign Metadata'!A$5, "No Campaign"))))</f>
        <v>No Campaign</v>
      </c>
    </row>
    <row r="237" spans="1:16" ht="15.75" customHeight="1" x14ac:dyDescent="0.3">
      <c r="A237" s="4" t="s">
        <v>405</v>
      </c>
      <c r="B237" s="4" t="s">
        <v>14</v>
      </c>
      <c r="C237" s="4" t="s">
        <v>406</v>
      </c>
      <c r="D237" s="4" t="s">
        <v>16</v>
      </c>
      <c r="E237" s="4" t="s">
        <v>17</v>
      </c>
      <c r="F237" s="4">
        <v>802</v>
      </c>
      <c r="G237" s="4">
        <v>262</v>
      </c>
      <c r="H237" s="4">
        <v>244</v>
      </c>
      <c r="I237" s="4">
        <v>14436</v>
      </c>
      <c r="J237" s="4">
        <v>14280</v>
      </c>
      <c r="K237" s="4">
        <v>49</v>
      </c>
      <c r="L237" s="4" t="s">
        <v>35</v>
      </c>
      <c r="M237" s="4"/>
      <c r="N237">
        <v>1.046358543417367</v>
      </c>
      <c r="P237" t="str">
        <f>IF(AND(C237 &gt;= 'Campaign Metadata'!B$2, C237 &lt;= 'Campaign Metadata'!C$2), 'Campaign Metadata'!A$2,
 IF(AND(C237 &gt;= 'Campaign Metadata'!B$3, C237 &lt;= 'Campaign Metadata'!C$3), 'Campaign Metadata'!A$3,
 IF(AND(C237 &gt;= 'Campaign Metadata'!B$4, C237 &lt;= 'Campaign Metadata'!C$4), 'Campaign Metadata'!A$4,
 IF(AND(C237 &gt;= 'Campaign Metadata'!B$5, C237 &lt;= 'Campaign Metadata'!C$5), 'Campaign Metadata'!A$5, "No Campaign"))))</f>
        <v>No Campaign</v>
      </c>
    </row>
    <row r="238" spans="1:16" ht="15.75" customHeight="1" x14ac:dyDescent="0.3">
      <c r="A238" s="4" t="s">
        <v>413</v>
      </c>
      <c r="B238" s="4" t="s">
        <v>14</v>
      </c>
      <c r="C238" s="4" t="s">
        <v>46</v>
      </c>
      <c r="D238" s="4" t="s">
        <v>21</v>
      </c>
      <c r="E238" s="4" t="s">
        <v>22</v>
      </c>
      <c r="F238" s="4">
        <v>941</v>
      </c>
      <c r="G238" s="4">
        <v>121</v>
      </c>
      <c r="H238" s="4">
        <v>458</v>
      </c>
      <c r="I238" s="4">
        <v>14115</v>
      </c>
      <c r="J238" s="4">
        <v>13838</v>
      </c>
      <c r="K238" s="4">
        <v>87</v>
      </c>
      <c r="L238" s="4" t="s">
        <v>35</v>
      </c>
      <c r="M238" s="4"/>
      <c r="N238">
        <v>1.0618586500939442</v>
      </c>
      <c r="P238" t="str">
        <f>IF(AND(C238 &gt;= 'Campaign Metadata'!B$2, C238 &lt;= 'Campaign Metadata'!C$2), 'Campaign Metadata'!A$2,
 IF(AND(C238 &gt;= 'Campaign Metadata'!B$3, C238 &lt;= 'Campaign Metadata'!C$3), 'Campaign Metadata'!A$3,
 IF(AND(C238 &gt;= 'Campaign Metadata'!B$4, C238 &lt;= 'Campaign Metadata'!C$4), 'Campaign Metadata'!A$4,
 IF(AND(C238 &gt;= 'Campaign Metadata'!B$5, C238 &lt;= 'Campaign Metadata'!C$5), 'Campaign Metadata'!A$5, "No Campaign"))))</f>
        <v>CybertruckLaunch</v>
      </c>
    </row>
    <row r="239" spans="1:16" ht="15.75" customHeight="1" x14ac:dyDescent="0.3">
      <c r="A239" s="4" t="s">
        <v>390</v>
      </c>
      <c r="B239" s="4" t="s">
        <v>31</v>
      </c>
      <c r="C239" s="4" t="s">
        <v>391</v>
      </c>
      <c r="D239" s="4" t="s">
        <v>72</v>
      </c>
      <c r="E239" s="4" t="s">
        <v>83</v>
      </c>
      <c r="F239" s="4">
        <v>1176</v>
      </c>
      <c r="G239" s="4">
        <v>464</v>
      </c>
      <c r="H239" s="4">
        <v>394</v>
      </c>
      <c r="I239" s="4">
        <v>14112</v>
      </c>
      <c r="J239" s="4">
        <v>13588</v>
      </c>
      <c r="K239" s="4">
        <v>272</v>
      </c>
      <c r="L239" s="4" t="s">
        <v>35</v>
      </c>
      <c r="N239">
        <v>1.1017073888725346</v>
      </c>
      <c r="P239" t="str">
        <f>IF(AND(C239 &gt;= 'Campaign Metadata'!B$2, C239 &lt;= 'Campaign Metadata'!C$2), 'Campaign Metadata'!A$2,
 IF(AND(C239 &gt;= 'Campaign Metadata'!B$3, C239 &lt;= 'Campaign Metadata'!C$3), 'Campaign Metadata'!A$3,
 IF(AND(C239 &gt;= 'Campaign Metadata'!B$4, C239 &lt;= 'Campaign Metadata'!C$4), 'Campaign Metadata'!A$4,
 IF(AND(C239 &gt;= 'Campaign Metadata'!B$5, C239 &lt;= 'Campaign Metadata'!C$5), 'Campaign Metadata'!A$5, "No Campaign"))))</f>
        <v>No Campaign</v>
      </c>
    </row>
    <row r="240" spans="1:16" ht="15.75" customHeight="1" x14ac:dyDescent="0.3">
      <c r="A240" s="4" t="s">
        <v>111</v>
      </c>
      <c r="B240" s="4" t="s">
        <v>14</v>
      </c>
      <c r="C240" s="4" t="s">
        <v>112</v>
      </c>
      <c r="D240" s="4" t="s">
        <v>43</v>
      </c>
      <c r="E240" s="4" t="s">
        <v>47</v>
      </c>
      <c r="F240" s="4">
        <v>2278</v>
      </c>
      <c r="G240" s="4">
        <v>10</v>
      </c>
      <c r="H240" s="4">
        <v>321</v>
      </c>
      <c r="I240" s="4">
        <v>13668</v>
      </c>
      <c r="J240" s="4">
        <v>12676</v>
      </c>
      <c r="K240" s="4">
        <v>275</v>
      </c>
      <c r="L240" s="4" t="s">
        <v>35</v>
      </c>
      <c r="M240" s="4"/>
      <c r="N240">
        <v>1.1043704638687284</v>
      </c>
      <c r="P240" t="str">
        <f>IF(AND(C240 &gt;= 'Campaign Metadata'!B$2, C240 &lt;= 'Campaign Metadata'!C$2), 'Campaign Metadata'!A$2,
 IF(AND(C240 &gt;= 'Campaign Metadata'!B$3, C240 &lt;= 'Campaign Metadata'!C$3), 'Campaign Metadata'!A$3,
 IF(AND(C240 &gt;= 'Campaign Metadata'!B$4, C240 &lt;= 'Campaign Metadata'!C$4), 'Campaign Metadata'!A$4,
 IF(AND(C240 &gt;= 'Campaign Metadata'!B$5, C240 &lt;= 'Campaign Metadata'!C$5), 'Campaign Metadata'!A$5, "No Campaign"))))</f>
        <v>No Campaign</v>
      </c>
    </row>
    <row r="241" spans="1:16" ht="15.75" customHeight="1" x14ac:dyDescent="0.3">
      <c r="A241" s="4" t="s">
        <v>134</v>
      </c>
      <c r="B241" s="4" t="s">
        <v>31</v>
      </c>
      <c r="C241" s="4" t="s">
        <v>135</v>
      </c>
      <c r="D241" s="4" t="s">
        <v>43</v>
      </c>
      <c r="E241" s="4" t="s">
        <v>86</v>
      </c>
      <c r="F241" s="4">
        <v>2174</v>
      </c>
      <c r="G241" s="4">
        <v>658</v>
      </c>
      <c r="H241" s="4">
        <v>15</v>
      </c>
      <c r="I241" s="4">
        <v>13044</v>
      </c>
      <c r="J241" s="4">
        <v>12206</v>
      </c>
      <c r="K241" s="4">
        <v>137</v>
      </c>
      <c r="L241" s="4" t="s">
        <v>28</v>
      </c>
      <c r="M241" s="4"/>
      <c r="N241">
        <v>1.1237915779125021</v>
      </c>
      <c r="P241" t="str">
        <f>IF(AND(C241 &gt;= 'Campaign Metadata'!B$2, C241 &lt;= 'Campaign Metadata'!C$2), 'Campaign Metadata'!A$2,
 IF(AND(C241 &gt;= 'Campaign Metadata'!B$3, C241 &lt;= 'Campaign Metadata'!C$3), 'Campaign Metadata'!A$3,
 IF(AND(C241 &gt;= 'Campaign Metadata'!B$4, C241 &lt;= 'Campaign Metadata'!C$4), 'Campaign Metadata'!A$4,
 IF(AND(C241 &gt;= 'Campaign Metadata'!B$5, C241 &lt;= 'Campaign Metadata'!C$5), 'Campaign Metadata'!A$5, "No Campaign"))))</f>
        <v>No Campaign</v>
      </c>
    </row>
    <row r="242" spans="1:16" ht="15.75" customHeight="1" x14ac:dyDescent="0.3">
      <c r="A242" s="4" t="s">
        <v>495</v>
      </c>
      <c r="B242" s="4" t="s">
        <v>31</v>
      </c>
      <c r="C242" s="4" t="s">
        <v>496</v>
      </c>
      <c r="D242" s="4" t="s">
        <v>16</v>
      </c>
      <c r="E242" s="4" t="s">
        <v>80</v>
      </c>
      <c r="F242" s="4">
        <v>2603</v>
      </c>
      <c r="G242" s="4">
        <v>690</v>
      </c>
      <c r="H242" s="4">
        <v>205</v>
      </c>
      <c r="I242" s="4">
        <v>13015</v>
      </c>
      <c r="J242" s="4">
        <v>12130</v>
      </c>
      <c r="K242" s="4">
        <v>20</v>
      </c>
      <c r="L242" s="4" t="s">
        <v>60</v>
      </c>
      <c r="M242" s="4"/>
      <c r="N242">
        <v>1.1467436108821105</v>
      </c>
      <c r="P242" t="str">
        <f>IF(AND(C242 &gt;= 'Campaign Metadata'!B$2, C242 &lt;= 'Campaign Metadata'!C$2), 'Campaign Metadata'!A$2,
 IF(AND(C242 &gt;= 'Campaign Metadata'!B$3, C242 &lt;= 'Campaign Metadata'!C$3), 'Campaign Metadata'!A$3,
 IF(AND(C242 &gt;= 'Campaign Metadata'!B$4, C242 &lt;= 'Campaign Metadata'!C$4), 'Campaign Metadata'!A$4,
 IF(AND(C242 &gt;= 'Campaign Metadata'!B$5, C242 &lt;= 'Campaign Metadata'!C$5), 'Campaign Metadata'!A$5, "No Campaign"))))</f>
        <v>No Campaign</v>
      </c>
    </row>
    <row r="243" spans="1:16" ht="15.75" customHeight="1" x14ac:dyDescent="0.3">
      <c r="A243" s="4" t="s">
        <v>219</v>
      </c>
      <c r="B243" s="4" t="s">
        <v>14</v>
      </c>
      <c r="C243" s="4" t="s">
        <v>220</v>
      </c>
      <c r="D243" s="4" t="s">
        <v>72</v>
      </c>
      <c r="E243" s="4" t="s">
        <v>142</v>
      </c>
      <c r="F243" s="4">
        <v>1436</v>
      </c>
      <c r="G243" s="4">
        <v>765</v>
      </c>
      <c r="H243" s="4">
        <v>496</v>
      </c>
      <c r="I243" s="4">
        <v>12924</v>
      </c>
      <c r="J243" s="4">
        <v>12701</v>
      </c>
      <c r="K243" s="4">
        <v>197</v>
      </c>
      <c r="L243" s="4" t="s">
        <v>60</v>
      </c>
      <c r="M243" s="4"/>
      <c r="N243">
        <v>1.1168411936068026</v>
      </c>
      <c r="P243" t="str">
        <f>IF(AND(C243 &gt;= 'Campaign Metadata'!B$2, C243 &lt;= 'Campaign Metadata'!C$2), 'Campaign Metadata'!A$2,
 IF(AND(C243 &gt;= 'Campaign Metadata'!B$3, C243 &lt;= 'Campaign Metadata'!C$3), 'Campaign Metadata'!A$3,
 IF(AND(C243 &gt;= 'Campaign Metadata'!B$4, C243 &lt;= 'Campaign Metadata'!C$4), 'Campaign Metadata'!A$4,
 IF(AND(C243 &gt;= 'Campaign Metadata'!B$5, C243 &lt;= 'Campaign Metadata'!C$5), 'Campaign Metadata'!A$5, "No Campaign"))))</f>
        <v>No Campaign</v>
      </c>
    </row>
    <row r="244" spans="1:16" ht="15.75" customHeight="1" x14ac:dyDescent="0.3">
      <c r="A244" s="4" t="s">
        <v>104</v>
      </c>
      <c r="B244" s="4" t="s">
        <v>31</v>
      </c>
      <c r="C244" s="4" t="s">
        <v>105</v>
      </c>
      <c r="D244" s="4" t="s">
        <v>43</v>
      </c>
      <c r="E244" s="4" t="s">
        <v>86</v>
      </c>
      <c r="F244" s="4">
        <v>2566</v>
      </c>
      <c r="G244" s="4">
        <v>118</v>
      </c>
      <c r="H244" s="4">
        <v>37</v>
      </c>
      <c r="I244" s="4">
        <v>12830</v>
      </c>
      <c r="J244" s="4">
        <v>12264</v>
      </c>
      <c r="K244" s="4">
        <v>221</v>
      </c>
      <c r="L244" s="4" t="s">
        <v>60</v>
      </c>
      <c r="M244" s="4"/>
      <c r="N244">
        <v>1.0587899543378996</v>
      </c>
      <c r="P244" t="str">
        <f>IF(AND(C244 &gt;= 'Campaign Metadata'!B$2, C244 &lt;= 'Campaign Metadata'!C$2), 'Campaign Metadata'!A$2,
 IF(AND(C244 &gt;= 'Campaign Metadata'!B$3, C244 &lt;= 'Campaign Metadata'!C$3), 'Campaign Metadata'!A$3,
 IF(AND(C244 &gt;= 'Campaign Metadata'!B$4, C244 &lt;= 'Campaign Metadata'!C$4), 'Campaign Metadata'!A$4,
 IF(AND(C244 &gt;= 'Campaign Metadata'!B$5, C244 &lt;= 'Campaign Metadata'!C$5), 'Campaign Metadata'!A$5, "No Campaign"))))</f>
        <v>No Campaign</v>
      </c>
    </row>
    <row r="245" spans="1:16" ht="15.75" customHeight="1" x14ac:dyDescent="0.3">
      <c r="A245" s="4" t="s">
        <v>338</v>
      </c>
      <c r="B245" s="4" t="s">
        <v>41</v>
      </c>
      <c r="C245" s="4" t="s">
        <v>126</v>
      </c>
      <c r="D245" s="4" t="s">
        <v>33</v>
      </c>
      <c r="E245" s="4" t="s">
        <v>69</v>
      </c>
      <c r="F245" s="4">
        <v>2120</v>
      </c>
      <c r="G245" s="4">
        <v>158</v>
      </c>
      <c r="H245" s="4">
        <v>488</v>
      </c>
      <c r="I245" s="4">
        <v>12720</v>
      </c>
      <c r="J245" s="4">
        <v>12085</v>
      </c>
      <c r="K245" s="4">
        <v>17</v>
      </c>
      <c r="L245" s="4" t="s">
        <v>60</v>
      </c>
      <c r="M245" s="4"/>
      <c r="N245">
        <v>1.1059991725279272</v>
      </c>
      <c r="P245" t="str">
        <f>IF(AND(C245 &gt;= 'Campaign Metadata'!B$2, C245 &lt;= 'Campaign Metadata'!C$2), 'Campaign Metadata'!A$2,
 IF(AND(C245 &gt;= 'Campaign Metadata'!B$3, C245 &lt;= 'Campaign Metadata'!C$3), 'Campaign Metadata'!A$3,
 IF(AND(C245 &gt;= 'Campaign Metadata'!B$4, C245 &lt;= 'Campaign Metadata'!C$4), 'Campaign Metadata'!A$4,
 IF(AND(C245 &gt;= 'Campaign Metadata'!B$5, C245 &lt;= 'Campaign Metadata'!C$5), 'Campaign Metadata'!A$5, "No Campaign"))))</f>
        <v>No Campaign</v>
      </c>
    </row>
    <row r="246" spans="1:16" ht="15.75" customHeight="1" x14ac:dyDescent="0.3">
      <c r="A246" s="4" t="s">
        <v>420</v>
      </c>
      <c r="B246" s="4" t="s">
        <v>14</v>
      </c>
      <c r="C246" s="4" t="s">
        <v>421</v>
      </c>
      <c r="D246" s="4" t="s">
        <v>43</v>
      </c>
      <c r="E246" s="4" t="s">
        <v>47</v>
      </c>
      <c r="F246" s="4">
        <v>2120</v>
      </c>
      <c r="G246" s="4">
        <v>38</v>
      </c>
      <c r="H246" s="4">
        <v>212</v>
      </c>
      <c r="I246" s="4">
        <v>12720</v>
      </c>
      <c r="J246" s="4">
        <v>12564</v>
      </c>
      <c r="K246" s="4">
        <v>21</v>
      </c>
      <c r="L246" s="4" t="s">
        <v>60</v>
      </c>
      <c r="M246" s="4"/>
      <c r="N246">
        <v>1.0323145495065267</v>
      </c>
      <c r="P246" t="str">
        <f>IF(AND(C246 &gt;= 'Campaign Metadata'!B$2, C246 &lt;= 'Campaign Metadata'!C$2), 'Campaign Metadata'!A$2,
 IF(AND(C246 &gt;= 'Campaign Metadata'!B$3, C246 &lt;= 'Campaign Metadata'!C$3), 'Campaign Metadata'!A$3,
 IF(AND(C246 &gt;= 'Campaign Metadata'!B$4, C246 &lt;= 'Campaign Metadata'!C$4), 'Campaign Metadata'!A$4,
 IF(AND(C246 &gt;= 'Campaign Metadata'!B$5, C246 &lt;= 'Campaign Metadata'!C$5), 'Campaign Metadata'!A$5, "No Campaign"))))</f>
        <v>No Campaign</v>
      </c>
    </row>
    <row r="247" spans="1:16" ht="15.75" customHeight="1" x14ac:dyDescent="0.3">
      <c r="A247" s="4" t="s">
        <v>455</v>
      </c>
      <c r="B247" s="4" t="s">
        <v>41</v>
      </c>
      <c r="C247" s="4" t="s">
        <v>79</v>
      </c>
      <c r="D247" s="4" t="s">
        <v>21</v>
      </c>
      <c r="E247" s="4" t="s">
        <v>54</v>
      </c>
      <c r="F247" s="4">
        <v>1257</v>
      </c>
      <c r="G247" s="4">
        <v>19</v>
      </c>
      <c r="H247" s="4">
        <v>351</v>
      </c>
      <c r="I247" s="4">
        <v>12570</v>
      </c>
      <c r="J247" s="4">
        <v>11660</v>
      </c>
      <c r="K247" s="4">
        <v>194</v>
      </c>
      <c r="L247" s="4" t="s">
        <v>60</v>
      </c>
      <c r="M247" s="4" t="s">
        <v>600</v>
      </c>
      <c r="N247">
        <v>1.1097770154373927</v>
      </c>
      <c r="P247" t="str">
        <f>IF(AND(C247 &gt;= 'Campaign Metadata'!B$2, C247 &lt;= 'Campaign Metadata'!C$2), 'Campaign Metadata'!A$2,
 IF(AND(C247 &gt;= 'Campaign Metadata'!B$3, C247 &lt;= 'Campaign Metadata'!C$3), 'Campaign Metadata'!A$3,
 IF(AND(C247 &gt;= 'Campaign Metadata'!B$4, C247 &lt;= 'Campaign Metadata'!C$4), 'Campaign Metadata'!A$4,
 IF(AND(C247 &gt;= 'Campaign Metadata'!B$5, C247 &lt;= 'Campaign Metadata'!C$5), 'Campaign Metadata'!A$5, "No Campaign"))))</f>
        <v>No Campaign</v>
      </c>
    </row>
    <row r="248" spans="1:16" ht="15.75" customHeight="1" x14ac:dyDescent="0.3">
      <c r="A248" s="4" t="s">
        <v>132</v>
      </c>
      <c r="B248" s="4" t="s">
        <v>599</v>
      </c>
      <c r="C248" s="4" t="s">
        <v>133</v>
      </c>
      <c r="D248" s="4" t="s">
        <v>16</v>
      </c>
      <c r="E248" s="4" t="s">
        <v>27</v>
      </c>
      <c r="F248" s="4">
        <v>1543</v>
      </c>
      <c r="G248" s="4">
        <v>820</v>
      </c>
      <c r="H248" s="4">
        <v>333</v>
      </c>
      <c r="I248" s="4">
        <v>12344</v>
      </c>
      <c r="J248" s="4">
        <v>11496</v>
      </c>
      <c r="K248" s="4">
        <v>241</v>
      </c>
      <c r="L248" s="4" t="s">
        <v>35</v>
      </c>
      <c r="N248">
        <v>1.1740605427974948</v>
      </c>
      <c r="P248" t="str">
        <f>IF(AND(C248 &gt;= 'Campaign Metadata'!B$2, C248 &lt;= 'Campaign Metadata'!C$2), 'Campaign Metadata'!A$2,
 IF(AND(C248 &gt;= 'Campaign Metadata'!B$3, C248 &lt;= 'Campaign Metadata'!C$3), 'Campaign Metadata'!A$3,
 IF(AND(C248 &gt;= 'Campaign Metadata'!B$4, C248 &lt;= 'Campaign Metadata'!C$4), 'Campaign Metadata'!A$4,
 IF(AND(C248 &gt;= 'Campaign Metadata'!B$5, C248 &lt;= 'Campaign Metadata'!C$5), 'Campaign Metadata'!A$5, "No Campaign"))))</f>
        <v>SustainabilityDrive</v>
      </c>
    </row>
    <row r="249" spans="1:16" ht="15.75" customHeight="1" x14ac:dyDescent="0.3">
      <c r="A249" s="4" t="s">
        <v>539</v>
      </c>
      <c r="B249" s="4" t="s">
        <v>41</v>
      </c>
      <c r="C249" s="4" t="s">
        <v>540</v>
      </c>
      <c r="D249" s="4" t="s">
        <v>21</v>
      </c>
      <c r="E249" s="4" t="s">
        <v>54</v>
      </c>
      <c r="F249" s="4">
        <v>880</v>
      </c>
      <c r="G249" s="4">
        <v>297</v>
      </c>
      <c r="H249" s="4">
        <v>345</v>
      </c>
      <c r="I249" s="4">
        <v>12320</v>
      </c>
      <c r="J249" s="4">
        <v>11978</v>
      </c>
      <c r="K249" s="4">
        <v>238</v>
      </c>
      <c r="L249" s="4" t="s">
        <v>28</v>
      </c>
      <c r="M249" s="5" t="s">
        <v>600</v>
      </c>
      <c r="N249">
        <v>1.0821506094506594</v>
      </c>
      <c r="P249" t="str">
        <f>IF(AND(C249 &gt;= 'Campaign Metadata'!B$2, C249 &lt;= 'Campaign Metadata'!C$2), 'Campaign Metadata'!A$2,
 IF(AND(C249 &gt;= 'Campaign Metadata'!B$3, C249 &lt;= 'Campaign Metadata'!C$3), 'Campaign Metadata'!A$3,
 IF(AND(C249 &gt;= 'Campaign Metadata'!B$4, C249 &lt;= 'Campaign Metadata'!C$4), 'Campaign Metadata'!A$4,
 IF(AND(C249 &gt;= 'Campaign Metadata'!B$5, C249 &lt;= 'Campaign Metadata'!C$5), 'Campaign Metadata'!A$5, "No Campaign"))))</f>
        <v>No Campaign</v>
      </c>
    </row>
    <row r="250" spans="1:16" ht="15.75" customHeight="1" x14ac:dyDescent="0.3">
      <c r="A250" s="4" t="s">
        <v>395</v>
      </c>
      <c r="B250" s="4" t="s">
        <v>31</v>
      </c>
      <c r="C250" s="4" t="s">
        <v>396</v>
      </c>
      <c r="D250" s="4" t="s">
        <v>43</v>
      </c>
      <c r="E250" s="4" t="s">
        <v>86</v>
      </c>
      <c r="F250" s="4">
        <v>914</v>
      </c>
      <c r="G250" s="4">
        <v>464</v>
      </c>
      <c r="H250" s="4">
        <v>246</v>
      </c>
      <c r="I250" s="4">
        <v>11882</v>
      </c>
      <c r="J250" s="4">
        <v>11500</v>
      </c>
      <c r="K250" s="4">
        <v>282</v>
      </c>
      <c r="L250" s="4" t="s">
        <v>60</v>
      </c>
      <c r="M250" s="4" t="s">
        <v>28</v>
      </c>
      <c r="N250">
        <v>1.0949565217391304</v>
      </c>
      <c r="P250" t="str">
        <f>IF(AND(C250 &gt;= 'Campaign Metadata'!B$2, C250 &lt;= 'Campaign Metadata'!C$2), 'Campaign Metadata'!A$2,
 IF(AND(C250 &gt;= 'Campaign Metadata'!B$3, C250 &lt;= 'Campaign Metadata'!C$3), 'Campaign Metadata'!A$3,
 IF(AND(C250 &gt;= 'Campaign Metadata'!B$4, C250 &lt;= 'Campaign Metadata'!C$4), 'Campaign Metadata'!A$4,
 IF(AND(C250 &gt;= 'Campaign Metadata'!B$5, C250 &lt;= 'Campaign Metadata'!C$5), 'Campaign Metadata'!A$5, "No Campaign"))))</f>
        <v>No Campaign</v>
      </c>
    </row>
    <row r="251" spans="1:16" ht="15.75" customHeight="1" x14ac:dyDescent="0.3">
      <c r="A251" s="4" t="s">
        <v>349</v>
      </c>
      <c r="B251" s="4" t="s">
        <v>14</v>
      </c>
      <c r="C251" s="4" t="s">
        <v>68</v>
      </c>
      <c r="D251" s="4" t="s">
        <v>16</v>
      </c>
      <c r="E251" s="4" t="s">
        <v>17</v>
      </c>
      <c r="F251" s="4">
        <v>1076</v>
      </c>
      <c r="G251" s="4">
        <v>313</v>
      </c>
      <c r="H251" s="4">
        <v>306</v>
      </c>
      <c r="I251" s="4">
        <v>11836</v>
      </c>
      <c r="J251" s="4">
        <v>11596</v>
      </c>
      <c r="K251" s="4">
        <v>104</v>
      </c>
      <c r="L251" s="4" t="s">
        <v>60</v>
      </c>
      <c r="M251" s="4"/>
      <c r="N251">
        <v>1.0740772680234563</v>
      </c>
      <c r="P251" t="str">
        <f>IF(AND(C251 &gt;= 'Campaign Metadata'!B$2, C251 &lt;= 'Campaign Metadata'!C$2), 'Campaign Metadata'!A$2,
 IF(AND(C251 &gt;= 'Campaign Metadata'!B$3, C251 &lt;= 'Campaign Metadata'!C$3), 'Campaign Metadata'!A$3,
 IF(AND(C251 &gt;= 'Campaign Metadata'!B$4, C251 &lt;= 'Campaign Metadata'!C$4), 'Campaign Metadata'!A$4,
 IF(AND(C251 &gt;= 'Campaign Metadata'!B$5, C251 &lt;= 'Campaign Metadata'!C$5), 'Campaign Metadata'!A$5, "No Campaign"))))</f>
        <v>No Campaign</v>
      </c>
    </row>
    <row r="252" spans="1:16" ht="15.75" customHeight="1" x14ac:dyDescent="0.3">
      <c r="A252" s="4" t="s">
        <v>169</v>
      </c>
      <c r="B252" s="4" t="s">
        <v>31</v>
      </c>
      <c r="C252" s="4" t="s">
        <v>170</v>
      </c>
      <c r="D252" s="4" t="s">
        <v>72</v>
      </c>
      <c r="E252" s="4" t="s">
        <v>83</v>
      </c>
      <c r="F252" s="4">
        <v>904</v>
      </c>
      <c r="G252" s="4">
        <v>973</v>
      </c>
      <c r="H252" s="4">
        <v>63</v>
      </c>
      <c r="I252" s="4">
        <v>11752</v>
      </c>
      <c r="J252" s="4">
        <v>11580</v>
      </c>
      <c r="K252" s="4">
        <v>84</v>
      </c>
      <c r="L252" s="4" t="s">
        <v>35</v>
      </c>
      <c r="M252" s="4" t="s">
        <v>28</v>
      </c>
      <c r="N252">
        <v>1.1043177892918825</v>
      </c>
      <c r="P252" t="str">
        <f>IF(AND(C252 &gt;= 'Campaign Metadata'!B$2, C252 &lt;= 'Campaign Metadata'!C$2), 'Campaign Metadata'!A$2,
 IF(AND(C252 &gt;= 'Campaign Metadata'!B$3, C252 &lt;= 'Campaign Metadata'!C$3), 'Campaign Metadata'!A$3,
 IF(AND(C252 &gt;= 'Campaign Metadata'!B$4, C252 &lt;= 'Campaign Metadata'!C$4), 'Campaign Metadata'!A$4,
 IF(AND(C252 &gt;= 'Campaign Metadata'!B$5, C252 &lt;= 'Campaign Metadata'!C$5), 'Campaign Metadata'!A$5, "No Campaign"))))</f>
        <v>No Campaign</v>
      </c>
    </row>
    <row r="253" spans="1:16" ht="15.75" customHeight="1" x14ac:dyDescent="0.3">
      <c r="A253" s="4" t="s">
        <v>499</v>
      </c>
      <c r="B253" s="4" t="s">
        <v>14</v>
      </c>
      <c r="C253" s="4" t="s">
        <v>500</v>
      </c>
      <c r="D253" s="4" t="s">
        <v>43</v>
      </c>
      <c r="E253" s="4" t="s">
        <v>47</v>
      </c>
      <c r="F253" s="4">
        <v>1877</v>
      </c>
      <c r="G253" s="4">
        <v>745</v>
      </c>
      <c r="H253" s="4">
        <v>225</v>
      </c>
      <c r="I253" s="4">
        <v>11262</v>
      </c>
      <c r="J253" s="4">
        <v>10967</v>
      </c>
      <c r="K253" s="4">
        <v>41</v>
      </c>
      <c r="L253" s="4" t="s">
        <v>35</v>
      </c>
      <c r="M253" s="4"/>
      <c r="N253">
        <v>1.115346038114343</v>
      </c>
      <c r="P253" t="str">
        <f>IF(AND(C253 &gt;= 'Campaign Metadata'!B$2, C253 &lt;= 'Campaign Metadata'!C$2), 'Campaign Metadata'!A$2,
 IF(AND(C253 &gt;= 'Campaign Metadata'!B$3, C253 &lt;= 'Campaign Metadata'!C$3), 'Campaign Metadata'!A$3,
 IF(AND(C253 &gt;= 'Campaign Metadata'!B$4, C253 &lt;= 'Campaign Metadata'!C$4), 'Campaign Metadata'!A$4,
 IF(AND(C253 &gt;= 'Campaign Metadata'!B$5, C253 &lt;= 'Campaign Metadata'!C$5), 'Campaign Metadata'!A$5, "No Campaign"))))</f>
        <v>No Campaign</v>
      </c>
    </row>
    <row r="254" spans="1:16" ht="15.75" customHeight="1" x14ac:dyDescent="0.3">
      <c r="A254" s="4" t="s">
        <v>411</v>
      </c>
      <c r="B254" s="4" t="s">
        <v>31</v>
      </c>
      <c r="C254" s="4" t="s">
        <v>328</v>
      </c>
      <c r="D254" s="4" t="s">
        <v>43</v>
      </c>
      <c r="E254" s="4" t="s">
        <v>86</v>
      </c>
      <c r="F254" s="4">
        <v>2234</v>
      </c>
      <c r="G254" s="4">
        <v>653</v>
      </c>
      <c r="H254" s="4">
        <v>432</v>
      </c>
      <c r="I254" s="4">
        <v>11170</v>
      </c>
      <c r="J254" s="4">
        <v>10569</v>
      </c>
      <c r="K254" s="4">
        <v>198</v>
      </c>
      <c r="L254" s="4" t="s">
        <v>60</v>
      </c>
      <c r="M254" s="4"/>
      <c r="N254">
        <v>1.1595231336928753</v>
      </c>
      <c r="P254" t="str">
        <f>IF(AND(C254 &gt;= 'Campaign Metadata'!B$2, C254 &lt;= 'Campaign Metadata'!C$2), 'Campaign Metadata'!A$2,
 IF(AND(C254 &gt;= 'Campaign Metadata'!B$3, C254 &lt;= 'Campaign Metadata'!C$3), 'Campaign Metadata'!A$3,
 IF(AND(C254 &gt;= 'Campaign Metadata'!B$4, C254 &lt;= 'Campaign Metadata'!C$4), 'Campaign Metadata'!A$4,
 IF(AND(C254 &gt;= 'Campaign Metadata'!B$5, C254 &lt;= 'Campaign Metadata'!C$5), 'Campaign Metadata'!A$5, "No Campaign"))))</f>
        <v>FSDUpdate</v>
      </c>
    </row>
    <row r="255" spans="1:16" ht="15.75" customHeight="1" x14ac:dyDescent="0.3">
      <c r="A255" s="4" t="s">
        <v>548</v>
      </c>
      <c r="B255" s="4" t="s">
        <v>14</v>
      </c>
      <c r="C255" s="4" t="s">
        <v>549</v>
      </c>
      <c r="D255" s="4" t="s">
        <v>21</v>
      </c>
      <c r="E255" s="4" t="s">
        <v>22</v>
      </c>
      <c r="F255" s="4">
        <v>2166</v>
      </c>
      <c r="G255" s="4">
        <v>354</v>
      </c>
      <c r="H255" s="4">
        <v>117</v>
      </c>
      <c r="I255" s="4">
        <v>10830</v>
      </c>
      <c r="J255" s="4">
        <v>10245</v>
      </c>
      <c r="K255" s="4">
        <v>24</v>
      </c>
      <c r="L255" s="4" t="s">
        <v>35</v>
      </c>
      <c r="M255" s="4"/>
      <c r="N255">
        <v>1.1030746705710102</v>
      </c>
      <c r="P255" t="str">
        <f>IF(AND(C255 &gt;= 'Campaign Metadata'!B$2, C255 &lt;= 'Campaign Metadata'!C$2), 'Campaign Metadata'!A$2,
 IF(AND(C255 &gt;= 'Campaign Metadata'!B$3, C255 &lt;= 'Campaign Metadata'!C$3), 'Campaign Metadata'!A$3,
 IF(AND(C255 &gt;= 'Campaign Metadata'!B$4, C255 &lt;= 'Campaign Metadata'!C$4), 'Campaign Metadata'!A$4,
 IF(AND(C255 &gt;= 'Campaign Metadata'!B$5, C255 &lt;= 'Campaign Metadata'!C$5), 'Campaign Metadata'!A$5, "No Campaign"))))</f>
        <v>No Campaign</v>
      </c>
    </row>
    <row r="256" spans="1:16" ht="15.75" customHeight="1" x14ac:dyDescent="0.3">
      <c r="A256" s="4" t="s">
        <v>154</v>
      </c>
      <c r="B256" s="4" t="s">
        <v>41</v>
      </c>
      <c r="C256" s="4" t="s">
        <v>155</v>
      </c>
      <c r="D256" s="4" t="s">
        <v>50</v>
      </c>
      <c r="E256" s="4" t="s">
        <v>57</v>
      </c>
      <c r="F256" s="4">
        <v>947</v>
      </c>
      <c r="G256" s="4">
        <v>338</v>
      </c>
      <c r="H256" s="4">
        <v>350</v>
      </c>
      <c r="I256" s="4">
        <v>10417</v>
      </c>
      <c r="J256" s="4">
        <v>9730</v>
      </c>
      <c r="K256" s="4">
        <v>34</v>
      </c>
      <c r="L256" s="4" t="s">
        <v>28</v>
      </c>
      <c r="M256" s="4"/>
      <c r="N256">
        <v>1.1413155190133608</v>
      </c>
      <c r="P256" t="str">
        <f>IF(AND(C256 &gt;= 'Campaign Metadata'!B$2, C256 &lt;= 'Campaign Metadata'!C$2), 'Campaign Metadata'!A$2,
 IF(AND(C256 &gt;= 'Campaign Metadata'!B$3, C256 &lt;= 'Campaign Metadata'!C$3), 'Campaign Metadata'!A$3,
 IF(AND(C256 &gt;= 'Campaign Metadata'!B$4, C256 &lt;= 'Campaign Metadata'!C$4), 'Campaign Metadata'!A$4,
 IF(AND(C256 &gt;= 'Campaign Metadata'!B$5, C256 &lt;= 'Campaign Metadata'!C$5), 'Campaign Metadata'!A$5, "No Campaign"))))</f>
        <v>FSDUpdate</v>
      </c>
    </row>
    <row r="257" spans="1:16" ht="15.75" customHeight="1" x14ac:dyDescent="0.3">
      <c r="A257" s="4" t="s">
        <v>278</v>
      </c>
      <c r="B257" s="4" t="s">
        <v>31</v>
      </c>
      <c r="C257" s="4" t="s">
        <v>279</v>
      </c>
      <c r="D257" s="4" t="s">
        <v>16</v>
      </c>
      <c r="E257" s="4" t="s">
        <v>80</v>
      </c>
      <c r="F257" s="4">
        <v>1970</v>
      </c>
      <c r="G257" s="4">
        <v>675</v>
      </c>
      <c r="H257" s="4">
        <v>478</v>
      </c>
      <c r="I257" s="4">
        <v>9850</v>
      </c>
      <c r="J257" s="4">
        <v>8924</v>
      </c>
      <c r="K257" s="4">
        <v>117</v>
      </c>
      <c r="L257" s="4" t="s">
        <v>60</v>
      </c>
      <c r="N257">
        <v>1.2329672792469744</v>
      </c>
      <c r="P257" t="str">
        <f>IF(AND(C257 &gt;= 'Campaign Metadata'!B$2, C257 &lt;= 'Campaign Metadata'!C$2), 'Campaign Metadata'!A$2,
 IF(AND(C257 &gt;= 'Campaign Metadata'!B$3, C257 &lt;= 'Campaign Metadata'!C$3), 'Campaign Metadata'!A$3,
 IF(AND(C257 &gt;= 'Campaign Metadata'!B$4, C257 &lt;= 'Campaign Metadata'!C$4), 'Campaign Metadata'!A$4,
 IF(AND(C257 &gt;= 'Campaign Metadata'!B$5, C257 &lt;= 'Campaign Metadata'!C$5), 'Campaign Metadata'!A$5, "No Campaign"))))</f>
        <v>No Campaign</v>
      </c>
    </row>
    <row r="258" spans="1:16" ht="15.75" customHeight="1" x14ac:dyDescent="0.3">
      <c r="A258" s="4" t="s">
        <v>211</v>
      </c>
      <c r="B258" s="4" t="s">
        <v>599</v>
      </c>
      <c r="C258" s="4" t="s">
        <v>212</v>
      </c>
      <c r="D258" s="4" t="s">
        <v>72</v>
      </c>
      <c r="E258" s="4" t="s">
        <v>213</v>
      </c>
      <c r="F258" s="4">
        <v>1094</v>
      </c>
      <c r="G258" s="4">
        <v>472</v>
      </c>
      <c r="H258" s="4">
        <v>21</v>
      </c>
      <c r="I258" s="4">
        <v>9846</v>
      </c>
      <c r="J258" s="4">
        <v>9609</v>
      </c>
      <c r="K258" s="4">
        <v>112</v>
      </c>
      <c r="L258" s="4" t="s">
        <v>35</v>
      </c>
      <c r="N258">
        <v>1.0759704443750651</v>
      </c>
      <c r="P258" t="str">
        <f>IF(AND(C258 &gt;= 'Campaign Metadata'!B$2, C258 &lt;= 'Campaign Metadata'!C$2), 'Campaign Metadata'!A$2,
 IF(AND(C258 &gt;= 'Campaign Metadata'!B$3, C258 &lt;= 'Campaign Metadata'!C$3), 'Campaign Metadata'!A$3,
 IF(AND(C258 &gt;= 'Campaign Metadata'!B$4, C258 &lt;= 'Campaign Metadata'!C$4), 'Campaign Metadata'!A$4,
 IF(AND(C258 &gt;= 'Campaign Metadata'!B$5, C258 &lt;= 'Campaign Metadata'!C$5), 'Campaign Metadata'!A$5, "No Campaign"))))</f>
        <v>ModelYCampaign</v>
      </c>
    </row>
    <row r="259" spans="1:16" ht="15.75" customHeight="1" x14ac:dyDescent="0.3">
      <c r="A259" s="4" t="s">
        <v>528</v>
      </c>
      <c r="B259" s="4" t="s">
        <v>14</v>
      </c>
      <c r="C259" s="4" t="s">
        <v>100</v>
      </c>
      <c r="D259" s="4" t="s">
        <v>21</v>
      </c>
      <c r="E259" s="4" t="s">
        <v>22</v>
      </c>
      <c r="F259" s="4">
        <v>571</v>
      </c>
      <c r="G259" s="4">
        <v>190</v>
      </c>
      <c r="H259" s="4">
        <v>352</v>
      </c>
      <c r="I259" s="4">
        <v>9707</v>
      </c>
      <c r="J259" s="4">
        <v>9418</v>
      </c>
      <c r="K259" s="4">
        <v>231</v>
      </c>
      <c r="L259" s="4" t="s">
        <v>28</v>
      </c>
      <c r="M259" s="4"/>
      <c r="N259">
        <v>1.088235294117647</v>
      </c>
      <c r="P259" t="str">
        <f>IF(AND(C259 &gt;= 'Campaign Metadata'!B$2, C259 &lt;= 'Campaign Metadata'!C$2), 'Campaign Metadata'!A$2,
 IF(AND(C259 &gt;= 'Campaign Metadata'!B$3, C259 &lt;= 'Campaign Metadata'!C$3), 'Campaign Metadata'!A$3,
 IF(AND(C259 &gt;= 'Campaign Metadata'!B$4, C259 &lt;= 'Campaign Metadata'!C$4), 'Campaign Metadata'!A$4,
 IF(AND(C259 &gt;= 'Campaign Metadata'!B$5, C259 &lt;= 'Campaign Metadata'!C$5), 'Campaign Metadata'!A$5, "No Campaign"))))</f>
        <v>No Campaign</v>
      </c>
    </row>
    <row r="260" spans="1:16" ht="15.75" customHeight="1" x14ac:dyDescent="0.3">
      <c r="A260" s="4" t="s">
        <v>494</v>
      </c>
      <c r="B260" s="4" t="s">
        <v>599</v>
      </c>
      <c r="C260" s="4" t="s">
        <v>462</v>
      </c>
      <c r="D260" s="4" t="s">
        <v>50</v>
      </c>
      <c r="E260" s="4" t="s">
        <v>51</v>
      </c>
      <c r="F260" s="4">
        <v>1206</v>
      </c>
      <c r="G260" s="4">
        <v>238</v>
      </c>
      <c r="H260" s="4">
        <v>36</v>
      </c>
      <c r="I260" s="4">
        <v>9648</v>
      </c>
      <c r="J260" s="4">
        <v>9417</v>
      </c>
      <c r="K260" s="4">
        <v>237</v>
      </c>
      <c r="L260" s="4" t="s">
        <v>28</v>
      </c>
      <c r="N260">
        <v>1.053626420303706</v>
      </c>
      <c r="P260" t="str">
        <f>IF(AND(C260 &gt;= 'Campaign Metadata'!B$2, C260 &lt;= 'Campaign Metadata'!C$2), 'Campaign Metadata'!A$2,
 IF(AND(C260 &gt;= 'Campaign Metadata'!B$3, C260 &lt;= 'Campaign Metadata'!C$3), 'Campaign Metadata'!A$3,
 IF(AND(C260 &gt;= 'Campaign Metadata'!B$4, C260 &lt;= 'Campaign Metadata'!C$4), 'Campaign Metadata'!A$4,
 IF(AND(C260 &gt;= 'Campaign Metadata'!B$5, C260 &lt;= 'Campaign Metadata'!C$5), 'Campaign Metadata'!A$5, "No Campaign"))))</f>
        <v>No Campaign</v>
      </c>
    </row>
    <row r="261" spans="1:16" ht="15.75" customHeight="1" x14ac:dyDescent="0.3">
      <c r="A261" s="4" t="s">
        <v>400</v>
      </c>
      <c r="B261" s="4" t="s">
        <v>14</v>
      </c>
      <c r="C261" s="4" t="s">
        <v>401</v>
      </c>
      <c r="D261" s="4" t="s">
        <v>50</v>
      </c>
      <c r="E261" s="4" t="s">
        <v>129</v>
      </c>
      <c r="F261" s="4">
        <v>1048</v>
      </c>
      <c r="G261" s="4">
        <v>374</v>
      </c>
      <c r="H261" s="4">
        <v>450</v>
      </c>
      <c r="I261" s="4">
        <v>9432</v>
      </c>
      <c r="J261" s="4">
        <v>8882</v>
      </c>
      <c r="K261" s="4">
        <v>158</v>
      </c>
      <c r="L261" s="4" t="s">
        <v>28</v>
      </c>
      <c r="M261" s="4"/>
      <c r="N261">
        <v>1.1546948885386175</v>
      </c>
      <c r="P261" t="str">
        <f>IF(AND(C261 &gt;= 'Campaign Metadata'!B$2, C261 &lt;= 'Campaign Metadata'!C$2), 'Campaign Metadata'!A$2,
 IF(AND(C261 &gt;= 'Campaign Metadata'!B$3, C261 &lt;= 'Campaign Metadata'!C$3), 'Campaign Metadata'!A$3,
 IF(AND(C261 &gt;= 'Campaign Metadata'!B$4, C261 &lt;= 'Campaign Metadata'!C$4), 'Campaign Metadata'!A$4,
 IF(AND(C261 &gt;= 'Campaign Metadata'!B$5, C261 &lt;= 'Campaign Metadata'!C$5), 'Campaign Metadata'!A$5, "No Campaign"))))</f>
        <v>No Campaign</v>
      </c>
    </row>
    <row r="262" spans="1:16" ht="15.75" customHeight="1" x14ac:dyDescent="0.3">
      <c r="A262" s="4" t="s">
        <v>515</v>
      </c>
      <c r="B262" s="4" t="s">
        <v>14</v>
      </c>
      <c r="C262" s="4" t="s">
        <v>516</v>
      </c>
      <c r="D262" s="4" t="s">
        <v>43</v>
      </c>
      <c r="E262" s="4" t="s">
        <v>47</v>
      </c>
      <c r="F262" s="4">
        <v>1556</v>
      </c>
      <c r="G262" s="4">
        <v>195</v>
      </c>
      <c r="H262" s="4">
        <v>131</v>
      </c>
      <c r="I262" s="4">
        <v>9336</v>
      </c>
      <c r="J262" s="4">
        <v>8875</v>
      </c>
      <c r="K262" s="4">
        <v>137</v>
      </c>
      <c r="L262" s="4" t="s">
        <v>28</v>
      </c>
      <c r="M262" s="4"/>
      <c r="N262">
        <v>1.0886760563380282</v>
      </c>
      <c r="P262" t="str">
        <f>IF(AND(C262 &gt;= 'Campaign Metadata'!B$2, C262 &lt;= 'Campaign Metadata'!C$2), 'Campaign Metadata'!A$2,
 IF(AND(C262 &gt;= 'Campaign Metadata'!B$3, C262 &lt;= 'Campaign Metadata'!C$3), 'Campaign Metadata'!A$3,
 IF(AND(C262 &gt;= 'Campaign Metadata'!B$4, C262 &lt;= 'Campaign Metadata'!C$4), 'Campaign Metadata'!A$4,
 IF(AND(C262 &gt;= 'Campaign Metadata'!B$5, C262 &lt;= 'Campaign Metadata'!C$5), 'Campaign Metadata'!A$5, "No Campaign"))))</f>
        <v>No Campaign</v>
      </c>
    </row>
    <row r="263" spans="1:16" ht="15.75" customHeight="1" x14ac:dyDescent="0.3">
      <c r="A263" s="4" t="s">
        <v>140</v>
      </c>
      <c r="B263" s="4" t="s">
        <v>14</v>
      </c>
      <c r="C263" s="4" t="s">
        <v>141</v>
      </c>
      <c r="D263" s="4" t="s">
        <v>72</v>
      </c>
      <c r="E263" s="4" t="s">
        <v>142</v>
      </c>
      <c r="F263" s="4">
        <v>1108</v>
      </c>
      <c r="G263" s="4">
        <v>177</v>
      </c>
      <c r="H263" s="4">
        <v>212</v>
      </c>
      <c r="I263" s="4">
        <v>8864</v>
      </c>
      <c r="J263" s="4">
        <v>8710</v>
      </c>
      <c r="K263" s="4">
        <v>97</v>
      </c>
      <c r="L263" s="4" t="s">
        <v>28</v>
      </c>
      <c r="M263" s="4"/>
      <c r="N263">
        <v>1.0623421354764639</v>
      </c>
      <c r="P263" t="str">
        <f>IF(AND(C263 &gt;= 'Campaign Metadata'!B$2, C263 &lt;= 'Campaign Metadata'!C$2), 'Campaign Metadata'!A$2,
 IF(AND(C263 &gt;= 'Campaign Metadata'!B$3, C263 &lt;= 'Campaign Metadata'!C$3), 'Campaign Metadata'!A$3,
 IF(AND(C263 &gt;= 'Campaign Metadata'!B$4, C263 &lt;= 'Campaign Metadata'!C$4), 'Campaign Metadata'!A$4,
 IF(AND(C263 &gt;= 'Campaign Metadata'!B$5, C263 &lt;= 'Campaign Metadata'!C$5), 'Campaign Metadata'!A$5, "No Campaign"))))</f>
        <v>No Campaign</v>
      </c>
    </row>
    <row r="264" spans="1:16" ht="15.75" customHeight="1" x14ac:dyDescent="0.3">
      <c r="A264" s="4" t="s">
        <v>201</v>
      </c>
      <c r="B264" s="4" t="s">
        <v>41</v>
      </c>
      <c r="C264" s="4" t="s">
        <v>103</v>
      </c>
      <c r="D264" s="4" t="s">
        <v>33</v>
      </c>
      <c r="E264" s="4" t="s">
        <v>69</v>
      </c>
      <c r="F264" s="4">
        <v>1249</v>
      </c>
      <c r="G264" s="4">
        <v>116</v>
      </c>
      <c r="H264" s="4">
        <v>420</v>
      </c>
      <c r="I264" s="4">
        <v>8743</v>
      </c>
      <c r="J264" s="4">
        <v>8538</v>
      </c>
      <c r="K264" s="4">
        <v>63</v>
      </c>
      <c r="L264" s="4" t="s">
        <v>28</v>
      </c>
      <c r="N264">
        <v>1.0867884750527055</v>
      </c>
      <c r="P264" t="str">
        <f>IF(AND(C264 &gt;= 'Campaign Metadata'!B$2, C264 &lt;= 'Campaign Metadata'!C$2), 'Campaign Metadata'!A$2,
 IF(AND(C264 &gt;= 'Campaign Metadata'!B$3, C264 &lt;= 'Campaign Metadata'!C$3), 'Campaign Metadata'!A$3,
 IF(AND(C264 &gt;= 'Campaign Metadata'!B$4, C264 &lt;= 'Campaign Metadata'!C$4), 'Campaign Metadata'!A$4,
 IF(AND(C264 &gt;= 'Campaign Metadata'!B$5, C264 &lt;= 'Campaign Metadata'!C$5), 'Campaign Metadata'!A$5, "No Campaign"))))</f>
        <v>SustainabilityDrive</v>
      </c>
    </row>
    <row r="265" spans="1:16" ht="15.75" customHeight="1" x14ac:dyDescent="0.3">
      <c r="A265" s="4" t="s">
        <v>440</v>
      </c>
      <c r="B265" s="4" t="s">
        <v>31</v>
      </c>
      <c r="C265" s="4" t="s">
        <v>441</v>
      </c>
      <c r="D265" s="4" t="s">
        <v>43</v>
      </c>
      <c r="E265" s="4" t="s">
        <v>86</v>
      </c>
      <c r="F265" s="4">
        <v>1741</v>
      </c>
      <c r="G265" s="4">
        <v>164</v>
      </c>
      <c r="H265" s="4">
        <v>318</v>
      </c>
      <c r="I265" s="4">
        <v>8705</v>
      </c>
      <c r="J265" s="4">
        <v>8272</v>
      </c>
      <c r="K265" s="4">
        <v>121</v>
      </c>
      <c r="L265" s="4" t="s">
        <v>28</v>
      </c>
      <c r="N265">
        <v>1.1106141199226305</v>
      </c>
      <c r="P265" t="str">
        <f>IF(AND(C265 &gt;= 'Campaign Metadata'!B$2, C265 &lt;= 'Campaign Metadata'!C$2), 'Campaign Metadata'!A$2,
 IF(AND(C265 &gt;= 'Campaign Metadata'!B$3, C265 &lt;= 'Campaign Metadata'!C$3), 'Campaign Metadata'!A$3,
 IF(AND(C265 &gt;= 'Campaign Metadata'!B$4, C265 &lt;= 'Campaign Metadata'!C$4), 'Campaign Metadata'!A$4,
 IF(AND(C265 &gt;= 'Campaign Metadata'!B$5, C265 &lt;= 'Campaign Metadata'!C$5), 'Campaign Metadata'!A$5, "No Campaign"))))</f>
        <v>No Campaign</v>
      </c>
    </row>
    <row r="266" spans="1:16" ht="15.75" customHeight="1" x14ac:dyDescent="0.3">
      <c r="A266" s="4" t="s">
        <v>230</v>
      </c>
      <c r="B266" s="4" t="s">
        <v>31</v>
      </c>
      <c r="C266" s="4" t="s">
        <v>231</v>
      </c>
      <c r="D266" s="4" t="s">
        <v>72</v>
      </c>
      <c r="E266" s="4" t="s">
        <v>83</v>
      </c>
      <c r="F266" s="4">
        <v>1431</v>
      </c>
      <c r="G266" s="4">
        <v>951</v>
      </c>
      <c r="H266" s="4">
        <v>26</v>
      </c>
      <c r="I266" s="4">
        <v>8586</v>
      </c>
      <c r="J266" s="4">
        <v>8396</v>
      </c>
      <c r="K266" s="4">
        <v>150</v>
      </c>
      <c r="L266" s="4" t="s">
        <v>35</v>
      </c>
      <c r="M266" s="4"/>
      <c r="N266">
        <v>1.1389947594092424</v>
      </c>
      <c r="P266" t="str">
        <f>IF(AND(C266 &gt;= 'Campaign Metadata'!B$2, C266 &lt;= 'Campaign Metadata'!C$2), 'Campaign Metadata'!A$2,
 IF(AND(C266 &gt;= 'Campaign Metadata'!B$3, C266 &lt;= 'Campaign Metadata'!C$3), 'Campaign Metadata'!A$3,
 IF(AND(C266 &gt;= 'Campaign Metadata'!B$4, C266 &lt;= 'Campaign Metadata'!C$4), 'Campaign Metadata'!A$4,
 IF(AND(C266 &gt;= 'Campaign Metadata'!B$5, C266 &lt;= 'Campaign Metadata'!C$5), 'Campaign Metadata'!A$5, "No Campaign"))))</f>
        <v>No Campaign</v>
      </c>
    </row>
    <row r="267" spans="1:16" ht="15.75" customHeight="1" x14ac:dyDescent="0.3">
      <c r="A267" s="4" t="s">
        <v>280</v>
      </c>
      <c r="B267" s="4" t="s">
        <v>41</v>
      </c>
      <c r="C267" s="4" t="s">
        <v>164</v>
      </c>
      <c r="D267" s="4" t="s">
        <v>33</v>
      </c>
      <c r="E267" s="4" t="s">
        <v>69</v>
      </c>
      <c r="F267" s="4">
        <v>780</v>
      </c>
      <c r="G267" s="4">
        <v>928</v>
      </c>
      <c r="H267" s="4">
        <v>301</v>
      </c>
      <c r="I267" s="4">
        <v>8580</v>
      </c>
      <c r="J267" s="4">
        <v>8081</v>
      </c>
      <c r="K267" s="4">
        <v>91</v>
      </c>
      <c r="L267" s="4" t="s">
        <v>35</v>
      </c>
      <c r="M267" s="4"/>
      <c r="N267">
        <v>1.2138349214206163</v>
      </c>
      <c r="P267" t="str">
        <f>IF(AND(C267 &gt;= 'Campaign Metadata'!B$2, C267 &lt;= 'Campaign Metadata'!C$2), 'Campaign Metadata'!A$2,
 IF(AND(C267 &gt;= 'Campaign Metadata'!B$3, C267 &lt;= 'Campaign Metadata'!C$3), 'Campaign Metadata'!A$3,
 IF(AND(C267 &gt;= 'Campaign Metadata'!B$4, C267 &lt;= 'Campaign Metadata'!C$4), 'Campaign Metadata'!A$4,
 IF(AND(C267 &gt;= 'Campaign Metadata'!B$5, C267 &lt;= 'Campaign Metadata'!C$5), 'Campaign Metadata'!A$5, "No Campaign"))))</f>
        <v>ModelYCampaign</v>
      </c>
    </row>
    <row r="268" spans="1:16" ht="15.75" customHeight="1" x14ac:dyDescent="0.3">
      <c r="A268" s="4" t="s">
        <v>130</v>
      </c>
      <c r="B268" s="4" t="s">
        <v>31</v>
      </c>
      <c r="C268" s="4" t="s">
        <v>131</v>
      </c>
      <c r="D268" s="4" t="s">
        <v>16</v>
      </c>
      <c r="E268" s="4" t="s">
        <v>80</v>
      </c>
      <c r="F268" s="4">
        <v>456</v>
      </c>
      <c r="G268" s="4">
        <v>629</v>
      </c>
      <c r="H268" s="4">
        <v>428</v>
      </c>
      <c r="I268" s="4">
        <v>8208</v>
      </c>
      <c r="J268" s="4">
        <v>7377</v>
      </c>
      <c r="K268" s="4">
        <v>205</v>
      </c>
      <c r="L268" s="4" t="s">
        <v>60</v>
      </c>
      <c r="M268" s="4"/>
      <c r="N268">
        <v>1.2559305950928561</v>
      </c>
      <c r="P268" t="str">
        <f>IF(AND(C268 &gt;= 'Campaign Metadata'!B$2, C268 &lt;= 'Campaign Metadata'!C$2), 'Campaign Metadata'!A$2,
 IF(AND(C268 &gt;= 'Campaign Metadata'!B$3, C268 &lt;= 'Campaign Metadata'!C$3), 'Campaign Metadata'!A$3,
 IF(AND(C268 &gt;= 'Campaign Metadata'!B$4, C268 &lt;= 'Campaign Metadata'!C$4), 'Campaign Metadata'!A$4,
 IF(AND(C268 &gt;= 'Campaign Metadata'!B$5, C268 &lt;= 'Campaign Metadata'!C$5), 'Campaign Metadata'!A$5, "No Campaign"))))</f>
        <v>SustainabilityDrive</v>
      </c>
    </row>
    <row r="269" spans="1:16" ht="15.75" customHeight="1" x14ac:dyDescent="0.3">
      <c r="A269" s="4" t="s">
        <v>373</v>
      </c>
      <c r="B269" s="4" t="s">
        <v>599</v>
      </c>
      <c r="C269" s="4" t="s">
        <v>374</v>
      </c>
      <c r="D269" s="4" t="s">
        <v>50</v>
      </c>
      <c r="E269" s="4" t="s">
        <v>51</v>
      </c>
      <c r="F269" s="4">
        <v>606</v>
      </c>
      <c r="G269" s="4">
        <v>789</v>
      </c>
      <c r="H269" s="4">
        <v>470</v>
      </c>
      <c r="I269" s="4">
        <v>7878</v>
      </c>
      <c r="J269" s="4">
        <v>7389</v>
      </c>
      <c r="K269" s="4">
        <v>239</v>
      </c>
      <c r="L269" s="4" t="s">
        <v>35</v>
      </c>
      <c r="M269" s="4"/>
      <c r="N269">
        <v>1.2365678711598322</v>
      </c>
      <c r="P269" t="str">
        <f>IF(AND(C269 &gt;= 'Campaign Metadata'!B$2, C269 &lt;= 'Campaign Metadata'!C$2), 'Campaign Metadata'!A$2,
 IF(AND(C269 &gt;= 'Campaign Metadata'!B$3, C269 &lt;= 'Campaign Metadata'!C$3), 'Campaign Metadata'!A$3,
 IF(AND(C269 &gt;= 'Campaign Metadata'!B$4, C269 &lt;= 'Campaign Metadata'!C$4), 'Campaign Metadata'!A$4,
 IF(AND(C269 &gt;= 'Campaign Metadata'!B$5, C269 &lt;= 'Campaign Metadata'!C$5), 'Campaign Metadata'!A$5, "No Campaign"))))</f>
        <v>SustainabilityDrive</v>
      </c>
    </row>
    <row r="270" spans="1:16" ht="15.75" customHeight="1" x14ac:dyDescent="0.3">
      <c r="A270" s="4" t="s">
        <v>431</v>
      </c>
      <c r="B270" s="4" t="s">
        <v>14</v>
      </c>
      <c r="C270" s="4" t="s">
        <v>170</v>
      </c>
      <c r="D270" s="4" t="s">
        <v>16</v>
      </c>
      <c r="E270" s="4" t="s">
        <v>17</v>
      </c>
      <c r="F270" s="4">
        <v>1188</v>
      </c>
      <c r="G270" s="4">
        <v>470</v>
      </c>
      <c r="H270" s="4">
        <v>174</v>
      </c>
      <c r="I270" s="4">
        <v>7128</v>
      </c>
      <c r="J270" s="4">
        <v>6145</v>
      </c>
      <c r="K270" s="4">
        <v>270</v>
      </c>
      <c r="L270" s="4" t="s">
        <v>28</v>
      </c>
      <c r="M270" s="4"/>
      <c r="N270">
        <v>1.2647681041497152</v>
      </c>
      <c r="P270" t="str">
        <f>IF(AND(C270 &gt;= 'Campaign Metadata'!B$2, C270 &lt;= 'Campaign Metadata'!C$2), 'Campaign Metadata'!A$2,
 IF(AND(C270 &gt;= 'Campaign Metadata'!B$3, C270 &lt;= 'Campaign Metadata'!C$3), 'Campaign Metadata'!A$3,
 IF(AND(C270 &gt;= 'Campaign Metadata'!B$4, C270 &lt;= 'Campaign Metadata'!C$4), 'Campaign Metadata'!A$4,
 IF(AND(C270 &gt;= 'Campaign Metadata'!B$5, C270 &lt;= 'Campaign Metadata'!C$5), 'Campaign Metadata'!A$5, "No Campaign"))))</f>
        <v>No Campaign</v>
      </c>
    </row>
    <row r="271" spans="1:16" ht="15.75" customHeight="1" x14ac:dyDescent="0.3">
      <c r="A271" s="4" t="s">
        <v>532</v>
      </c>
      <c r="B271" s="4" t="s">
        <v>31</v>
      </c>
      <c r="C271" s="4" t="s">
        <v>396</v>
      </c>
      <c r="D271" s="4" t="s">
        <v>16</v>
      </c>
      <c r="E271" s="4" t="s">
        <v>80</v>
      </c>
      <c r="F271" s="4">
        <v>1164</v>
      </c>
      <c r="G271" s="4">
        <v>616</v>
      </c>
      <c r="H271" s="4">
        <v>324</v>
      </c>
      <c r="I271" s="4">
        <v>6984</v>
      </c>
      <c r="J271" s="4">
        <v>6636</v>
      </c>
      <c r="K271" s="4">
        <v>82</v>
      </c>
      <c r="L271" s="4" t="s">
        <v>35</v>
      </c>
      <c r="M271" s="4"/>
      <c r="N271">
        <v>1.1940928270042195</v>
      </c>
      <c r="P271" t="str">
        <f>IF(AND(C271 &gt;= 'Campaign Metadata'!B$2, C271 &lt;= 'Campaign Metadata'!C$2), 'Campaign Metadata'!A$2,
 IF(AND(C271 &gt;= 'Campaign Metadata'!B$3, C271 &lt;= 'Campaign Metadata'!C$3), 'Campaign Metadata'!A$3,
 IF(AND(C271 &gt;= 'Campaign Metadata'!B$4, C271 &lt;= 'Campaign Metadata'!C$4), 'Campaign Metadata'!A$4,
 IF(AND(C271 &gt;= 'Campaign Metadata'!B$5, C271 &lt;= 'Campaign Metadata'!C$5), 'Campaign Metadata'!A$5, "No Campaign"))))</f>
        <v>No Campaign</v>
      </c>
    </row>
    <row r="272" spans="1:16" ht="15.75" customHeight="1" x14ac:dyDescent="0.3">
      <c r="A272" s="4" t="s">
        <v>102</v>
      </c>
      <c r="B272" s="4" t="s">
        <v>31</v>
      </c>
      <c r="C272" s="4" t="s">
        <v>103</v>
      </c>
      <c r="D272" s="4" t="s">
        <v>72</v>
      </c>
      <c r="E272" s="4" t="s">
        <v>83</v>
      </c>
      <c r="F272" s="4">
        <v>432</v>
      </c>
      <c r="G272" s="4">
        <v>624</v>
      </c>
      <c r="H272" s="4">
        <v>123</v>
      </c>
      <c r="I272" s="4">
        <v>6912</v>
      </c>
      <c r="J272" s="4">
        <v>6259</v>
      </c>
      <c r="K272" s="4">
        <v>79</v>
      </c>
      <c r="L272" s="4" t="s">
        <v>60</v>
      </c>
      <c r="M272" s="4"/>
      <c r="N272">
        <v>1.2236779038185013</v>
      </c>
      <c r="P272" t="str">
        <f>IF(AND(C272 &gt;= 'Campaign Metadata'!B$2, C272 &lt;= 'Campaign Metadata'!C$2), 'Campaign Metadata'!A$2,
 IF(AND(C272 &gt;= 'Campaign Metadata'!B$3, C272 &lt;= 'Campaign Metadata'!C$3), 'Campaign Metadata'!A$3,
 IF(AND(C272 &gt;= 'Campaign Metadata'!B$4, C272 &lt;= 'Campaign Metadata'!C$4), 'Campaign Metadata'!A$4,
 IF(AND(C272 &gt;= 'Campaign Metadata'!B$5, C272 &lt;= 'Campaign Metadata'!C$5), 'Campaign Metadata'!A$5, "No Campaign"))))</f>
        <v>SustainabilityDrive</v>
      </c>
    </row>
    <row r="273" spans="1:16" ht="15.75" customHeight="1" x14ac:dyDescent="0.3">
      <c r="A273" s="4" t="s">
        <v>329</v>
      </c>
      <c r="B273" s="4" t="s">
        <v>31</v>
      </c>
      <c r="C273" s="4" t="s">
        <v>204</v>
      </c>
      <c r="D273" s="4" t="s">
        <v>43</v>
      </c>
      <c r="E273" s="4" t="s">
        <v>86</v>
      </c>
      <c r="F273" s="4">
        <v>985</v>
      </c>
      <c r="G273" s="4">
        <v>932</v>
      </c>
      <c r="H273" s="4">
        <v>287</v>
      </c>
      <c r="I273" s="4">
        <v>6895</v>
      </c>
      <c r="J273" s="4">
        <v>6757</v>
      </c>
      <c r="K273" s="4">
        <v>64</v>
      </c>
      <c r="L273" s="4" t="s">
        <v>60</v>
      </c>
      <c r="M273" s="4"/>
      <c r="N273">
        <v>1.2008287701642741</v>
      </c>
      <c r="P273" t="str">
        <f>IF(AND(C273 &gt;= 'Campaign Metadata'!B$2, C273 &lt;= 'Campaign Metadata'!C$2), 'Campaign Metadata'!A$2,
 IF(AND(C273 &gt;= 'Campaign Metadata'!B$3, C273 &lt;= 'Campaign Metadata'!C$3), 'Campaign Metadata'!A$3,
 IF(AND(C273 &gt;= 'Campaign Metadata'!B$4, C273 &lt;= 'Campaign Metadata'!C$4), 'Campaign Metadata'!A$4,
 IF(AND(C273 &gt;= 'Campaign Metadata'!B$5, C273 &lt;= 'Campaign Metadata'!C$5), 'Campaign Metadata'!A$5, "No Campaign"))))</f>
        <v>ModelYCampaign</v>
      </c>
    </row>
    <row r="274" spans="1:16" ht="15.75" customHeight="1" x14ac:dyDescent="0.3">
      <c r="A274" s="4" t="s">
        <v>327</v>
      </c>
      <c r="B274" s="4" t="s">
        <v>14</v>
      </c>
      <c r="C274" s="4" t="s">
        <v>328</v>
      </c>
      <c r="D274" s="4" t="s">
        <v>72</v>
      </c>
      <c r="E274" s="4" t="s">
        <v>142</v>
      </c>
      <c r="F274" s="4">
        <v>754</v>
      </c>
      <c r="G274" s="4">
        <v>197</v>
      </c>
      <c r="H274" s="4">
        <v>257</v>
      </c>
      <c r="I274" s="4">
        <v>6786</v>
      </c>
      <c r="J274" s="4">
        <v>6221</v>
      </c>
      <c r="K274" s="4">
        <v>212</v>
      </c>
      <c r="L274" s="4" t="s">
        <v>28</v>
      </c>
      <c r="M274" s="4"/>
      <c r="N274">
        <v>1.1638000321491722</v>
      </c>
      <c r="P274" t="str">
        <f>IF(AND(C274 &gt;= 'Campaign Metadata'!B$2, C274 &lt;= 'Campaign Metadata'!C$2), 'Campaign Metadata'!A$2,
 IF(AND(C274 &gt;= 'Campaign Metadata'!B$3, C274 &lt;= 'Campaign Metadata'!C$3), 'Campaign Metadata'!A$3,
 IF(AND(C274 &gt;= 'Campaign Metadata'!B$4, C274 &lt;= 'Campaign Metadata'!C$4), 'Campaign Metadata'!A$4,
 IF(AND(C274 &gt;= 'Campaign Metadata'!B$5, C274 &lt;= 'Campaign Metadata'!C$5), 'Campaign Metadata'!A$5, "No Campaign"))))</f>
        <v>FSDUpdate</v>
      </c>
    </row>
    <row r="275" spans="1:16" ht="15.75" customHeight="1" x14ac:dyDescent="0.3">
      <c r="A275" s="4" t="s">
        <v>470</v>
      </c>
      <c r="B275" s="4" t="s">
        <v>41</v>
      </c>
      <c r="C275" s="4" t="s">
        <v>471</v>
      </c>
      <c r="D275" s="4" t="s">
        <v>50</v>
      </c>
      <c r="E275" s="4" t="s">
        <v>57</v>
      </c>
      <c r="F275" s="4">
        <v>400</v>
      </c>
      <c r="G275" s="4">
        <v>680</v>
      </c>
      <c r="H275" s="4">
        <v>434</v>
      </c>
      <c r="I275" s="4">
        <v>6400</v>
      </c>
      <c r="J275" s="4">
        <v>5472</v>
      </c>
      <c r="K275" s="4">
        <v>160</v>
      </c>
      <c r="L275" s="4" t="s">
        <v>60</v>
      </c>
      <c r="M275" s="4"/>
      <c r="N275">
        <v>1.373172514619883</v>
      </c>
      <c r="P275" t="str">
        <f>IF(AND(C275 &gt;= 'Campaign Metadata'!B$2, C275 &lt;= 'Campaign Metadata'!C$2), 'Campaign Metadata'!A$2,
 IF(AND(C275 &gt;= 'Campaign Metadata'!B$3, C275 &lt;= 'Campaign Metadata'!C$3), 'Campaign Metadata'!A$3,
 IF(AND(C275 &gt;= 'Campaign Metadata'!B$4, C275 &lt;= 'Campaign Metadata'!C$4), 'Campaign Metadata'!A$4,
 IF(AND(C275 &gt;= 'Campaign Metadata'!B$5, C275 &lt;= 'Campaign Metadata'!C$5), 'Campaign Metadata'!A$5, "No Campaign"))))</f>
        <v>ModelYCampaign</v>
      </c>
    </row>
    <row r="276" spans="1:16" ht="15.75" customHeight="1" x14ac:dyDescent="0.3">
      <c r="A276" s="4" t="s">
        <v>245</v>
      </c>
      <c r="B276" s="4" t="s">
        <v>14</v>
      </c>
      <c r="C276" s="4" t="s">
        <v>246</v>
      </c>
      <c r="D276" s="4" t="s">
        <v>16</v>
      </c>
      <c r="E276" s="4" t="s">
        <v>17</v>
      </c>
      <c r="F276" s="4">
        <v>1000</v>
      </c>
      <c r="G276" s="4">
        <v>978</v>
      </c>
      <c r="H276" s="4">
        <v>162</v>
      </c>
      <c r="I276" s="4">
        <v>6000</v>
      </c>
      <c r="J276" s="4">
        <v>5221</v>
      </c>
      <c r="K276" s="4">
        <v>223</v>
      </c>
      <c r="L276" s="4" t="s">
        <v>35</v>
      </c>
      <c r="M276" s="4"/>
      <c r="N276">
        <v>1.3675541084083509</v>
      </c>
      <c r="P276" t="str">
        <f>IF(AND(C276 &gt;= 'Campaign Metadata'!B$2, C276 &lt;= 'Campaign Metadata'!C$2), 'Campaign Metadata'!A$2,
 IF(AND(C276 &gt;= 'Campaign Metadata'!B$3, C276 &lt;= 'Campaign Metadata'!C$3), 'Campaign Metadata'!A$3,
 IF(AND(C276 &gt;= 'Campaign Metadata'!B$4, C276 &lt;= 'Campaign Metadata'!C$4), 'Campaign Metadata'!A$4,
 IF(AND(C276 &gt;= 'Campaign Metadata'!B$5, C276 &lt;= 'Campaign Metadata'!C$5), 'Campaign Metadata'!A$5, "No Campaign"))))</f>
        <v>No Campaign</v>
      </c>
    </row>
    <row r="277" spans="1:16" ht="15.75" customHeight="1" x14ac:dyDescent="0.3">
      <c r="A277" s="4" t="s">
        <v>221</v>
      </c>
      <c r="B277" s="4" t="s">
        <v>41</v>
      </c>
      <c r="C277" s="4" t="s">
        <v>222</v>
      </c>
      <c r="D277" s="4" t="s">
        <v>33</v>
      </c>
      <c r="E277" s="4" t="s">
        <v>69</v>
      </c>
      <c r="F277" s="4">
        <v>302</v>
      </c>
      <c r="G277" s="4">
        <v>47</v>
      </c>
      <c r="H277" s="4">
        <v>430</v>
      </c>
      <c r="I277" s="4">
        <v>5738</v>
      </c>
      <c r="J277" s="4">
        <v>4890</v>
      </c>
      <c r="K277" s="4">
        <v>25</v>
      </c>
      <c r="L277" s="4" t="s">
        <v>28</v>
      </c>
      <c r="M277" s="4"/>
      <c r="N277">
        <v>1.2709611451942739</v>
      </c>
      <c r="P277" t="str">
        <f>IF(AND(C277 &gt;= 'Campaign Metadata'!B$2, C277 &lt;= 'Campaign Metadata'!C$2), 'Campaign Metadata'!A$2,
 IF(AND(C277 &gt;= 'Campaign Metadata'!B$3, C277 &lt;= 'Campaign Metadata'!C$3), 'Campaign Metadata'!A$3,
 IF(AND(C277 &gt;= 'Campaign Metadata'!B$4, C277 &lt;= 'Campaign Metadata'!C$4), 'Campaign Metadata'!A$4,
 IF(AND(C277 &gt;= 'Campaign Metadata'!B$5, C277 &lt;= 'Campaign Metadata'!C$5), 'Campaign Metadata'!A$5, "No Campaign"))))</f>
        <v>CybertruckLaunch</v>
      </c>
    </row>
    <row r="278" spans="1:16" ht="15.75" customHeight="1" x14ac:dyDescent="0.3">
      <c r="A278" s="4" t="s">
        <v>191</v>
      </c>
      <c r="B278" s="4" t="s">
        <v>599</v>
      </c>
      <c r="C278" s="4" t="s">
        <v>192</v>
      </c>
      <c r="D278" s="4" t="s">
        <v>16</v>
      </c>
      <c r="E278" s="4" t="s">
        <v>27</v>
      </c>
      <c r="F278" s="4">
        <v>296</v>
      </c>
      <c r="G278" s="4">
        <v>60</v>
      </c>
      <c r="H278" s="4">
        <v>141</v>
      </c>
      <c r="I278" s="4">
        <v>5624</v>
      </c>
      <c r="J278" s="4">
        <v>5239</v>
      </c>
      <c r="K278" s="4">
        <v>88</v>
      </c>
      <c r="L278" s="4" t="s">
        <v>35</v>
      </c>
      <c r="M278" s="4"/>
      <c r="N278">
        <v>1.1118534071387669</v>
      </c>
      <c r="P278" t="str">
        <f>IF(AND(C278 &gt;= 'Campaign Metadata'!B$2, C278 &lt;= 'Campaign Metadata'!C$2), 'Campaign Metadata'!A$2,
 IF(AND(C278 &gt;= 'Campaign Metadata'!B$3, C278 &lt;= 'Campaign Metadata'!C$3), 'Campaign Metadata'!A$3,
 IF(AND(C278 &gt;= 'Campaign Metadata'!B$4, C278 &lt;= 'Campaign Metadata'!C$4), 'Campaign Metadata'!A$4,
 IF(AND(C278 &gt;= 'Campaign Metadata'!B$5, C278 &lt;= 'Campaign Metadata'!C$5), 'Campaign Metadata'!A$5, "No Campaign"))))</f>
        <v>SustainabilityDrive</v>
      </c>
    </row>
    <row r="279" spans="1:16" ht="15.75" customHeight="1" x14ac:dyDescent="0.3">
      <c r="A279" s="4" t="s">
        <v>284</v>
      </c>
      <c r="B279" s="4" t="s">
        <v>599</v>
      </c>
      <c r="C279" s="4" t="s">
        <v>285</v>
      </c>
      <c r="D279" s="4" t="s">
        <v>43</v>
      </c>
      <c r="E279" s="4" t="s">
        <v>66</v>
      </c>
      <c r="F279" s="4">
        <v>736</v>
      </c>
      <c r="G279" s="4">
        <v>771</v>
      </c>
      <c r="H279" s="4">
        <v>225</v>
      </c>
      <c r="I279" s="4">
        <v>5152</v>
      </c>
      <c r="J279" s="4">
        <v>4706</v>
      </c>
      <c r="K279" s="4">
        <v>19</v>
      </c>
      <c r="L279" s="4" t="s">
        <v>35</v>
      </c>
      <c r="M279" s="4"/>
      <c r="N279">
        <v>1.3064173395665108</v>
      </c>
      <c r="P279" t="str">
        <f>IF(AND(C279 &gt;= 'Campaign Metadata'!B$2, C279 &lt;= 'Campaign Metadata'!C$2), 'Campaign Metadata'!A$2,
 IF(AND(C279 &gt;= 'Campaign Metadata'!B$3, C279 &lt;= 'Campaign Metadata'!C$3), 'Campaign Metadata'!A$3,
 IF(AND(C279 &gt;= 'Campaign Metadata'!B$4, C279 &lt;= 'Campaign Metadata'!C$4), 'Campaign Metadata'!A$4,
 IF(AND(C279 &gt;= 'Campaign Metadata'!B$5, C279 &lt;= 'Campaign Metadata'!C$5), 'Campaign Metadata'!A$5, "No Campaign"))))</f>
        <v>No Campaign</v>
      </c>
    </row>
    <row r="280" spans="1:16" ht="15.75" customHeight="1" x14ac:dyDescent="0.3">
      <c r="A280" s="4" t="s">
        <v>281</v>
      </c>
      <c r="B280" s="4" t="s">
        <v>31</v>
      </c>
      <c r="C280" s="4" t="s">
        <v>262</v>
      </c>
      <c r="D280" s="4" t="s">
        <v>33</v>
      </c>
      <c r="E280" s="4" t="s">
        <v>34</v>
      </c>
      <c r="F280" s="4">
        <v>498</v>
      </c>
      <c r="G280" s="4">
        <v>701</v>
      </c>
      <c r="H280" s="4">
        <v>412</v>
      </c>
      <c r="I280" s="4">
        <v>4980</v>
      </c>
      <c r="J280" s="4">
        <v>4185</v>
      </c>
      <c r="K280" s="4">
        <v>185</v>
      </c>
      <c r="L280" s="4" t="s">
        <v>60</v>
      </c>
      <c r="N280">
        <v>1.4559139784946236</v>
      </c>
      <c r="P280" t="str">
        <f>IF(AND(C280 &gt;= 'Campaign Metadata'!B$2, C280 &lt;= 'Campaign Metadata'!C$2), 'Campaign Metadata'!A$2,
 IF(AND(C280 &gt;= 'Campaign Metadata'!B$3, C280 &lt;= 'Campaign Metadata'!C$3), 'Campaign Metadata'!A$3,
 IF(AND(C280 &gt;= 'Campaign Metadata'!B$4, C280 &lt;= 'Campaign Metadata'!C$4), 'Campaign Metadata'!A$4,
 IF(AND(C280 &gt;= 'Campaign Metadata'!B$5, C280 &lt;= 'Campaign Metadata'!C$5), 'Campaign Metadata'!A$5, "No Campaign"))))</f>
        <v>No Campaign</v>
      </c>
    </row>
    <row r="281" spans="1:16" ht="15.75" customHeight="1" x14ac:dyDescent="0.3">
      <c r="A281" s="4" t="s">
        <v>376</v>
      </c>
      <c r="B281" s="4" t="s">
        <v>31</v>
      </c>
      <c r="C281" s="4" t="s">
        <v>377</v>
      </c>
      <c r="D281" s="4" t="s">
        <v>33</v>
      </c>
      <c r="E281" s="4" t="s">
        <v>34</v>
      </c>
      <c r="F281" s="4">
        <v>360</v>
      </c>
      <c r="G281" s="4">
        <v>590</v>
      </c>
      <c r="H281" s="4">
        <v>393</v>
      </c>
      <c r="I281" s="4">
        <v>4680</v>
      </c>
      <c r="J281" s="4">
        <v>4322</v>
      </c>
      <c r="K281" s="4">
        <v>208</v>
      </c>
      <c r="L281" s="4" t="s">
        <v>60</v>
      </c>
      <c r="M281" s="4"/>
      <c r="N281">
        <v>1.3102730217491902</v>
      </c>
      <c r="P281" t="str">
        <f>IF(AND(C281 &gt;= 'Campaign Metadata'!B$2, C281 &lt;= 'Campaign Metadata'!C$2), 'Campaign Metadata'!A$2,
 IF(AND(C281 &gt;= 'Campaign Metadata'!B$3, C281 &lt;= 'Campaign Metadata'!C$3), 'Campaign Metadata'!A$3,
 IF(AND(C281 &gt;= 'Campaign Metadata'!B$4, C281 &lt;= 'Campaign Metadata'!C$4), 'Campaign Metadata'!A$4,
 IF(AND(C281 &gt;= 'Campaign Metadata'!B$5, C281 &lt;= 'Campaign Metadata'!C$5), 'Campaign Metadata'!A$5, "No Campaign"))))</f>
        <v>No Campaign</v>
      </c>
    </row>
    <row r="282" spans="1:16" ht="15.75" customHeight="1" x14ac:dyDescent="0.3">
      <c r="A282" s="4" t="s">
        <v>442</v>
      </c>
      <c r="B282" s="4" t="s">
        <v>31</v>
      </c>
      <c r="C282" s="4" t="s">
        <v>443</v>
      </c>
      <c r="D282" s="4" t="s">
        <v>21</v>
      </c>
      <c r="E282" s="4" t="s">
        <v>110</v>
      </c>
      <c r="F282" s="4">
        <v>246</v>
      </c>
      <c r="G282" s="4">
        <v>149</v>
      </c>
      <c r="H282" s="4">
        <v>130</v>
      </c>
      <c r="I282" s="4">
        <v>4674</v>
      </c>
      <c r="J282" s="4">
        <v>4390</v>
      </c>
      <c r="K282" s="4">
        <v>217</v>
      </c>
      <c r="L282" s="4" t="s">
        <v>60</v>
      </c>
      <c r="M282" s="4"/>
      <c r="N282">
        <v>1.1282460136674259</v>
      </c>
      <c r="P282" t="str">
        <f>IF(AND(C282 &gt;= 'Campaign Metadata'!B$2, C282 &lt;= 'Campaign Metadata'!C$2), 'Campaign Metadata'!A$2,
 IF(AND(C282 &gt;= 'Campaign Metadata'!B$3, C282 &lt;= 'Campaign Metadata'!C$3), 'Campaign Metadata'!A$3,
 IF(AND(C282 &gt;= 'Campaign Metadata'!B$4, C282 &lt;= 'Campaign Metadata'!C$4), 'Campaign Metadata'!A$4,
 IF(AND(C282 &gt;= 'Campaign Metadata'!B$5, C282 &lt;= 'Campaign Metadata'!C$5), 'Campaign Metadata'!A$5, "No Campaign"))))</f>
        <v>No Campaign</v>
      </c>
    </row>
    <row r="283" spans="1:16" ht="15.75" customHeight="1" x14ac:dyDescent="0.3">
      <c r="A283" s="4" t="s">
        <v>305</v>
      </c>
      <c r="B283" s="4" t="s">
        <v>14</v>
      </c>
      <c r="C283" s="4" t="s">
        <v>183</v>
      </c>
      <c r="D283" s="4" t="s">
        <v>50</v>
      </c>
      <c r="E283" s="4" t="s">
        <v>129</v>
      </c>
      <c r="F283" s="4">
        <v>305</v>
      </c>
      <c r="G283" s="4">
        <v>187</v>
      </c>
      <c r="H283" s="4">
        <v>243</v>
      </c>
      <c r="I283" s="4">
        <v>4575</v>
      </c>
      <c r="J283" s="4">
        <v>3704</v>
      </c>
      <c r="K283" s="4">
        <v>234</v>
      </c>
      <c r="L283" s="4" t="s">
        <v>60</v>
      </c>
      <c r="M283" s="4"/>
      <c r="N283">
        <v>1.3512419006479481</v>
      </c>
      <c r="P283" t="str">
        <f>IF(AND(C283 &gt;= 'Campaign Metadata'!B$2, C283 &lt;= 'Campaign Metadata'!C$2), 'Campaign Metadata'!A$2,
 IF(AND(C283 &gt;= 'Campaign Metadata'!B$3, C283 &lt;= 'Campaign Metadata'!C$3), 'Campaign Metadata'!A$3,
 IF(AND(C283 &gt;= 'Campaign Metadata'!B$4, C283 &lt;= 'Campaign Metadata'!C$4), 'Campaign Metadata'!A$4,
 IF(AND(C283 &gt;= 'Campaign Metadata'!B$5, C283 &lt;= 'Campaign Metadata'!C$5), 'Campaign Metadata'!A$5, "No Campaign"))))</f>
        <v>SustainabilityDrive</v>
      </c>
    </row>
    <row r="284" spans="1:16" ht="15.75" customHeight="1" x14ac:dyDescent="0.3">
      <c r="A284" s="4" t="s">
        <v>251</v>
      </c>
      <c r="B284" s="4" t="s">
        <v>31</v>
      </c>
      <c r="C284" s="4" t="s">
        <v>252</v>
      </c>
      <c r="D284" s="4" t="s">
        <v>43</v>
      </c>
      <c r="E284" s="4" t="s">
        <v>86</v>
      </c>
      <c r="F284" s="4">
        <v>498</v>
      </c>
      <c r="G284" s="4">
        <v>38</v>
      </c>
      <c r="H284" s="4">
        <v>42</v>
      </c>
      <c r="I284" s="4">
        <v>4482</v>
      </c>
      <c r="J284" s="4">
        <v>3647</v>
      </c>
      <c r="K284" s="4">
        <v>32</v>
      </c>
      <c r="L284" s="4" t="s">
        <v>60</v>
      </c>
      <c r="M284" s="4"/>
      <c r="N284">
        <v>1.2508911434055388</v>
      </c>
      <c r="P284" t="str">
        <f>IF(AND(C284 &gt;= 'Campaign Metadata'!B$2, C284 &lt;= 'Campaign Metadata'!C$2), 'Campaign Metadata'!A$2,
 IF(AND(C284 &gt;= 'Campaign Metadata'!B$3, C284 &lt;= 'Campaign Metadata'!C$3), 'Campaign Metadata'!A$3,
 IF(AND(C284 &gt;= 'Campaign Metadata'!B$4, C284 &lt;= 'Campaign Metadata'!C$4), 'Campaign Metadata'!A$4,
 IF(AND(C284 &gt;= 'Campaign Metadata'!B$5, C284 &lt;= 'Campaign Metadata'!C$5), 'Campaign Metadata'!A$5, "No Campaign"))))</f>
        <v>No Campaign</v>
      </c>
    </row>
    <row r="285" spans="1:16" ht="15.75" customHeight="1" x14ac:dyDescent="0.3">
      <c r="A285" s="4" t="s">
        <v>474</v>
      </c>
      <c r="B285" s="4" t="s">
        <v>41</v>
      </c>
      <c r="C285" s="4" t="s">
        <v>59</v>
      </c>
      <c r="D285" s="4" t="s">
        <v>33</v>
      </c>
      <c r="E285" s="4" t="s">
        <v>69</v>
      </c>
      <c r="F285" s="4">
        <v>886</v>
      </c>
      <c r="G285" s="4">
        <v>126</v>
      </c>
      <c r="H285" s="4">
        <v>153</v>
      </c>
      <c r="I285" s="4">
        <v>4430</v>
      </c>
      <c r="J285" s="4">
        <v>4037</v>
      </c>
      <c r="K285" s="4">
        <v>212</v>
      </c>
      <c r="L285" s="4" t="s">
        <v>35</v>
      </c>
      <c r="N285">
        <v>1.1664602427545208</v>
      </c>
      <c r="P285" t="str">
        <f>IF(AND(C285 &gt;= 'Campaign Metadata'!B$2, C285 &lt;= 'Campaign Metadata'!C$2), 'Campaign Metadata'!A$2,
 IF(AND(C285 &gt;= 'Campaign Metadata'!B$3, C285 &lt;= 'Campaign Metadata'!C$3), 'Campaign Metadata'!A$3,
 IF(AND(C285 &gt;= 'Campaign Metadata'!B$4, C285 &lt;= 'Campaign Metadata'!C$4), 'Campaign Metadata'!A$4,
 IF(AND(C285 &gt;= 'Campaign Metadata'!B$5, C285 &lt;= 'Campaign Metadata'!C$5), 'Campaign Metadata'!A$5, "No Campaign"))))</f>
        <v>No Campaign</v>
      </c>
    </row>
    <row r="286" spans="1:16" ht="15.75" customHeight="1" x14ac:dyDescent="0.3">
      <c r="A286" s="4" t="s">
        <v>437</v>
      </c>
      <c r="B286" s="4" t="s">
        <v>41</v>
      </c>
      <c r="C286" s="4" t="s">
        <v>438</v>
      </c>
      <c r="D286" s="4" t="s">
        <v>50</v>
      </c>
      <c r="E286" s="4" t="s">
        <v>57</v>
      </c>
      <c r="F286" s="4">
        <v>602</v>
      </c>
      <c r="G286" s="4">
        <v>594</v>
      </c>
      <c r="H286" s="4">
        <v>156</v>
      </c>
      <c r="I286" s="4">
        <v>4214</v>
      </c>
      <c r="J286" s="4">
        <v>3363</v>
      </c>
      <c r="K286" s="4">
        <v>164</v>
      </c>
      <c r="L286" s="4" t="s">
        <v>28</v>
      </c>
      <c r="M286" s="4"/>
      <c r="N286">
        <v>1.4760630389533156</v>
      </c>
      <c r="P286" t="str">
        <f>IF(AND(C286 &gt;= 'Campaign Metadata'!B$2, C286 &lt;= 'Campaign Metadata'!C$2), 'Campaign Metadata'!A$2,
 IF(AND(C286 &gt;= 'Campaign Metadata'!B$3, C286 &lt;= 'Campaign Metadata'!C$3), 'Campaign Metadata'!A$3,
 IF(AND(C286 &gt;= 'Campaign Metadata'!B$4, C286 &lt;= 'Campaign Metadata'!C$4), 'Campaign Metadata'!A$4,
 IF(AND(C286 &gt;= 'Campaign Metadata'!B$5, C286 &lt;= 'Campaign Metadata'!C$5), 'Campaign Metadata'!A$5, "No Campaign"))))</f>
        <v>No Campaign</v>
      </c>
    </row>
    <row r="287" spans="1:16" ht="15.75" customHeight="1" x14ac:dyDescent="0.3">
      <c r="A287" s="4" t="s">
        <v>425</v>
      </c>
      <c r="B287" s="4" t="s">
        <v>31</v>
      </c>
      <c r="C287" s="4" t="s">
        <v>15</v>
      </c>
      <c r="D287" s="4" t="s">
        <v>50</v>
      </c>
      <c r="E287" s="4" t="s">
        <v>210</v>
      </c>
      <c r="F287" s="4">
        <v>521</v>
      </c>
      <c r="G287" s="4">
        <v>746</v>
      </c>
      <c r="H287" s="4">
        <v>315</v>
      </c>
      <c r="I287" s="4">
        <v>4168</v>
      </c>
      <c r="J287" s="4">
        <v>3399</v>
      </c>
      <c r="K287" s="4">
        <v>282</v>
      </c>
      <c r="L287" s="4" t="s">
        <v>60</v>
      </c>
      <c r="M287" s="4"/>
      <c r="N287">
        <v>1.5383936451897617</v>
      </c>
      <c r="P287" t="str">
        <f>IF(AND(C287 &gt;= 'Campaign Metadata'!B$2, C287 &lt;= 'Campaign Metadata'!C$2), 'Campaign Metadata'!A$2,
 IF(AND(C287 &gt;= 'Campaign Metadata'!B$3, C287 &lt;= 'Campaign Metadata'!C$3), 'Campaign Metadata'!A$3,
 IF(AND(C287 &gt;= 'Campaign Metadata'!B$4, C287 &lt;= 'Campaign Metadata'!C$4), 'Campaign Metadata'!A$4,
 IF(AND(C287 &gt;= 'Campaign Metadata'!B$5, C287 &lt;= 'Campaign Metadata'!C$5), 'Campaign Metadata'!A$5, "No Campaign"))))</f>
        <v>No Campaign</v>
      </c>
    </row>
    <row r="288" spans="1:16" ht="15.75" customHeight="1" x14ac:dyDescent="0.3">
      <c r="A288" s="4" t="s">
        <v>156</v>
      </c>
      <c r="B288" s="4" t="s">
        <v>599</v>
      </c>
      <c r="C288" s="4" t="s">
        <v>144</v>
      </c>
      <c r="D288" s="4" t="s">
        <v>43</v>
      </c>
      <c r="E288" s="4" t="s">
        <v>66</v>
      </c>
      <c r="F288" s="4">
        <v>804</v>
      </c>
      <c r="G288" s="4">
        <v>639</v>
      </c>
      <c r="H288" s="4">
        <v>43</v>
      </c>
      <c r="I288" s="4">
        <v>4020</v>
      </c>
      <c r="J288" s="4">
        <v>3144</v>
      </c>
      <c r="K288" s="4">
        <v>11</v>
      </c>
      <c r="L288" s="4" t="s">
        <v>35</v>
      </c>
      <c r="M288" s="5" t="s">
        <v>601</v>
      </c>
      <c r="N288">
        <v>1.4955470737913485</v>
      </c>
      <c r="P288" t="str">
        <f>IF(AND(C288 &gt;= 'Campaign Metadata'!B$2, C288 &lt;= 'Campaign Metadata'!C$2), 'Campaign Metadata'!A$2,
 IF(AND(C288 &gt;= 'Campaign Metadata'!B$3, C288 &lt;= 'Campaign Metadata'!C$3), 'Campaign Metadata'!A$3,
 IF(AND(C288 &gt;= 'Campaign Metadata'!B$4, C288 &lt;= 'Campaign Metadata'!C$4), 'Campaign Metadata'!A$4,
 IF(AND(C288 &gt;= 'Campaign Metadata'!B$5, C288 &lt;= 'Campaign Metadata'!C$5), 'Campaign Metadata'!A$5, "No Campaign"))))</f>
        <v>No Campaign</v>
      </c>
    </row>
    <row r="289" spans="1:16" ht="15.75" customHeight="1" x14ac:dyDescent="0.3">
      <c r="A289" s="4" t="s">
        <v>187</v>
      </c>
      <c r="B289" s="4" t="s">
        <v>41</v>
      </c>
      <c r="C289" s="4" t="s">
        <v>188</v>
      </c>
      <c r="D289" s="4" t="s">
        <v>72</v>
      </c>
      <c r="E289" s="4" t="s">
        <v>73</v>
      </c>
      <c r="F289" s="4">
        <v>199</v>
      </c>
      <c r="G289" s="4">
        <v>772</v>
      </c>
      <c r="H289" s="4">
        <v>400</v>
      </c>
      <c r="I289" s="4">
        <v>3582</v>
      </c>
      <c r="J289" s="4">
        <v>2988</v>
      </c>
      <c r="K289" s="4">
        <v>43</v>
      </c>
      <c r="L289" s="4" t="s">
        <v>28</v>
      </c>
      <c r="N289">
        <v>1.5910307898259706</v>
      </c>
      <c r="P289" t="str">
        <f>IF(AND(C289 &gt;= 'Campaign Metadata'!B$2, C289 &lt;= 'Campaign Metadata'!C$2), 'Campaign Metadata'!A$2,
 IF(AND(C289 &gt;= 'Campaign Metadata'!B$3, C289 &lt;= 'Campaign Metadata'!C$3), 'Campaign Metadata'!A$3,
 IF(AND(C289 &gt;= 'Campaign Metadata'!B$4, C289 &lt;= 'Campaign Metadata'!C$4), 'Campaign Metadata'!A$4,
 IF(AND(C289 &gt;= 'Campaign Metadata'!B$5, C289 &lt;= 'Campaign Metadata'!C$5), 'Campaign Metadata'!A$5, "No Campaign"))))</f>
        <v>No Campaign</v>
      </c>
    </row>
    <row r="290" spans="1:16" ht="15.75" customHeight="1" x14ac:dyDescent="0.3">
      <c r="A290" s="4" t="s">
        <v>489</v>
      </c>
      <c r="B290" s="4" t="s">
        <v>41</v>
      </c>
      <c r="C290" s="4" t="s">
        <v>243</v>
      </c>
      <c r="D290" s="4" t="s">
        <v>21</v>
      </c>
      <c r="E290" s="4" t="s">
        <v>54</v>
      </c>
      <c r="F290" s="4">
        <v>562</v>
      </c>
      <c r="G290" s="4">
        <v>158</v>
      </c>
      <c r="H290" s="4">
        <v>149</v>
      </c>
      <c r="I290" s="4">
        <v>3372</v>
      </c>
      <c r="J290" s="4">
        <v>2940</v>
      </c>
      <c r="K290" s="4">
        <v>93</v>
      </c>
      <c r="L290" s="4" t="s">
        <v>28</v>
      </c>
      <c r="M290" s="4"/>
      <c r="N290">
        <v>1.2513605442176872</v>
      </c>
      <c r="P290" t="str">
        <f>IF(AND(C290 &gt;= 'Campaign Metadata'!B$2, C290 &lt;= 'Campaign Metadata'!C$2), 'Campaign Metadata'!A$2,
 IF(AND(C290 &gt;= 'Campaign Metadata'!B$3, C290 &lt;= 'Campaign Metadata'!C$3), 'Campaign Metadata'!A$3,
 IF(AND(C290 &gt;= 'Campaign Metadata'!B$4, C290 &lt;= 'Campaign Metadata'!C$4), 'Campaign Metadata'!A$4,
 IF(AND(C290 &gt;= 'Campaign Metadata'!B$5, C290 &lt;= 'Campaign Metadata'!C$5), 'Campaign Metadata'!A$5, "No Campaign"))))</f>
        <v>No Campaign</v>
      </c>
    </row>
    <row r="291" spans="1:16" ht="15.75" customHeight="1" x14ac:dyDescent="0.3">
      <c r="A291" s="4" t="s">
        <v>419</v>
      </c>
      <c r="B291" s="4" t="s">
        <v>599</v>
      </c>
      <c r="C291" s="4" t="s">
        <v>342</v>
      </c>
      <c r="D291" s="4" t="s">
        <v>50</v>
      </c>
      <c r="E291" s="4" t="s">
        <v>51</v>
      </c>
      <c r="F291" s="4">
        <v>257</v>
      </c>
      <c r="G291" s="4">
        <v>966</v>
      </c>
      <c r="H291" s="4">
        <v>398</v>
      </c>
      <c r="I291" s="4">
        <v>3341</v>
      </c>
      <c r="J291" s="4">
        <v>2753</v>
      </c>
      <c r="K291" s="4">
        <v>287</v>
      </c>
      <c r="L291" s="4" t="s">
        <v>60</v>
      </c>
      <c r="M291" s="4"/>
      <c r="N291">
        <v>1.70904467853251</v>
      </c>
      <c r="P291" t="str">
        <f>IF(AND(C291 &gt;= 'Campaign Metadata'!B$2, C291 &lt;= 'Campaign Metadata'!C$2), 'Campaign Metadata'!A$2,
 IF(AND(C291 &gt;= 'Campaign Metadata'!B$3, C291 &lt;= 'Campaign Metadata'!C$3), 'Campaign Metadata'!A$3,
 IF(AND(C291 &gt;= 'Campaign Metadata'!B$4, C291 &lt;= 'Campaign Metadata'!C$4), 'Campaign Metadata'!A$4,
 IF(AND(C291 &gt;= 'Campaign Metadata'!B$5, C291 &lt;= 'Campaign Metadata'!C$5), 'Campaign Metadata'!A$5, "No Campaign"))))</f>
        <v>No Campaign</v>
      </c>
    </row>
    <row r="292" spans="1:16" ht="15.75" customHeight="1" x14ac:dyDescent="0.3">
      <c r="A292" s="4" t="s">
        <v>108</v>
      </c>
      <c r="B292" s="4" t="s">
        <v>31</v>
      </c>
      <c r="C292" s="4" t="s">
        <v>109</v>
      </c>
      <c r="D292" s="4" t="s">
        <v>21</v>
      </c>
      <c r="E292" s="4" t="s">
        <v>110</v>
      </c>
      <c r="F292" s="4">
        <v>438</v>
      </c>
      <c r="G292" s="4">
        <v>153</v>
      </c>
      <c r="H292" s="4">
        <v>275</v>
      </c>
      <c r="I292" s="4">
        <v>3066</v>
      </c>
      <c r="J292" s="4">
        <v>2701</v>
      </c>
      <c r="K292" s="4">
        <v>282</v>
      </c>
      <c r="L292" s="4" t="s">
        <v>28</v>
      </c>
      <c r="M292" s="4"/>
      <c r="N292">
        <v>1.2935949648278415</v>
      </c>
      <c r="P292" t="str">
        <f>IF(AND(C292 &gt;= 'Campaign Metadata'!B$2, C292 &lt;= 'Campaign Metadata'!C$2), 'Campaign Metadata'!A$2,
 IF(AND(C292 &gt;= 'Campaign Metadata'!B$3, C292 &lt;= 'Campaign Metadata'!C$3), 'Campaign Metadata'!A$3,
 IF(AND(C292 &gt;= 'Campaign Metadata'!B$4, C292 &lt;= 'Campaign Metadata'!C$4), 'Campaign Metadata'!A$4,
 IF(AND(C292 &gt;= 'Campaign Metadata'!B$5, C292 &lt;= 'Campaign Metadata'!C$5), 'Campaign Metadata'!A$5, "No Campaign"))))</f>
        <v>No Campaign</v>
      </c>
    </row>
    <row r="293" spans="1:16" ht="15.75" customHeight="1" x14ac:dyDescent="0.3">
      <c r="A293" s="4" t="s">
        <v>180</v>
      </c>
      <c r="B293" s="4" t="s">
        <v>14</v>
      </c>
      <c r="C293" s="4" t="s">
        <v>181</v>
      </c>
      <c r="D293" s="4" t="s">
        <v>43</v>
      </c>
      <c r="E293" s="4" t="s">
        <v>47</v>
      </c>
      <c r="F293" s="4">
        <v>432</v>
      </c>
      <c r="G293" s="4">
        <v>171</v>
      </c>
      <c r="H293" s="4">
        <v>280</v>
      </c>
      <c r="I293" s="4">
        <v>3024</v>
      </c>
      <c r="J293" s="4">
        <v>2285</v>
      </c>
      <c r="K293" s="4">
        <v>184</v>
      </c>
      <c r="L293" s="4" t="s">
        <v>35</v>
      </c>
      <c r="M293" s="4"/>
      <c r="N293">
        <v>1.5207877461706782</v>
      </c>
      <c r="P293" t="str">
        <f>IF(AND(C293 &gt;= 'Campaign Metadata'!B$2, C293 &lt;= 'Campaign Metadata'!C$2), 'Campaign Metadata'!A$2,
 IF(AND(C293 &gt;= 'Campaign Metadata'!B$3, C293 &lt;= 'Campaign Metadata'!C$3), 'Campaign Metadata'!A$3,
 IF(AND(C293 &gt;= 'Campaign Metadata'!B$4, C293 &lt;= 'Campaign Metadata'!C$4), 'Campaign Metadata'!A$4,
 IF(AND(C293 &gt;= 'Campaign Metadata'!B$5, C293 &lt;= 'Campaign Metadata'!C$5), 'Campaign Metadata'!A$5, "No Campaign"))))</f>
        <v>No Campaign</v>
      </c>
    </row>
    <row r="294" spans="1:16" ht="15.75" customHeight="1" x14ac:dyDescent="0.3">
      <c r="A294" s="4" t="s">
        <v>364</v>
      </c>
      <c r="B294" s="4" t="s">
        <v>31</v>
      </c>
      <c r="C294" s="4" t="s">
        <v>365</v>
      </c>
      <c r="D294" s="4" t="s">
        <v>16</v>
      </c>
      <c r="E294" s="4" t="s">
        <v>80</v>
      </c>
      <c r="F294" s="4">
        <v>142</v>
      </c>
      <c r="G294" s="4">
        <v>784</v>
      </c>
      <c r="H294" s="4">
        <v>183</v>
      </c>
      <c r="I294" s="4">
        <v>1704</v>
      </c>
      <c r="J294" s="4">
        <v>995</v>
      </c>
      <c r="K294" s="4">
        <v>154</v>
      </c>
      <c r="L294" s="4" t="s">
        <v>60</v>
      </c>
      <c r="M294" s="4"/>
      <c r="N294">
        <v>2.6844221105527639</v>
      </c>
      <c r="P294" t="str">
        <f>IF(AND(C294 &gt;= 'Campaign Metadata'!B$2, C294 &lt;= 'Campaign Metadata'!C$2), 'Campaign Metadata'!A$2,
 IF(AND(C294 &gt;= 'Campaign Metadata'!B$3, C294 &lt;= 'Campaign Metadata'!C$3), 'Campaign Metadata'!A$3,
 IF(AND(C294 &gt;= 'Campaign Metadata'!B$4, C294 &lt;= 'Campaign Metadata'!C$4), 'Campaign Metadata'!A$4,
 IF(AND(C294 &gt;= 'Campaign Metadata'!B$5, C294 &lt;= 'Campaign Metadata'!C$5), 'Campaign Metadata'!A$5, "No Campaign"))))</f>
        <v>No Campaign</v>
      </c>
    </row>
    <row r="295" spans="1:16" ht="15.75" customHeight="1" x14ac:dyDescent="0.3">
      <c r="A295" s="4" t="s">
        <v>449</v>
      </c>
      <c r="B295" s="4" t="s">
        <v>14</v>
      </c>
      <c r="C295" s="4" t="s">
        <v>450</v>
      </c>
      <c r="D295" s="4" t="s">
        <v>33</v>
      </c>
      <c r="E295" s="4" t="s">
        <v>146</v>
      </c>
      <c r="F295" s="4">
        <v>249</v>
      </c>
      <c r="G295" s="4">
        <v>592</v>
      </c>
      <c r="H295" s="4">
        <v>230</v>
      </c>
      <c r="I295" s="4">
        <v>1494</v>
      </c>
      <c r="J295" s="4">
        <v>1044</v>
      </c>
      <c r="K295" s="4">
        <v>201</v>
      </c>
      <c r="L295" s="4" t="s">
        <v>35</v>
      </c>
      <c r="M295" s="4"/>
      <c r="N295">
        <v>2.2183908045977012</v>
      </c>
      <c r="P295" t="str">
        <f>IF(AND(C295 &gt;= 'Campaign Metadata'!B$2, C295 &lt;= 'Campaign Metadata'!C$2), 'Campaign Metadata'!A$2,
 IF(AND(C295 &gt;= 'Campaign Metadata'!B$3, C295 &lt;= 'Campaign Metadata'!C$3), 'Campaign Metadata'!A$3,
 IF(AND(C295 &gt;= 'Campaign Metadata'!B$4, C295 &lt;= 'Campaign Metadata'!C$4), 'Campaign Metadata'!A$4,
 IF(AND(C295 &gt;= 'Campaign Metadata'!B$5, C295 &lt;= 'Campaign Metadata'!C$5), 'Campaign Metadata'!A$5, "No Campaign"))))</f>
        <v>No Campaign</v>
      </c>
    </row>
    <row r="296" spans="1:16" ht="15.75" customHeight="1" x14ac:dyDescent="0.3">
      <c r="A296" s="4" t="s">
        <v>370</v>
      </c>
      <c r="B296" s="4" t="s">
        <v>31</v>
      </c>
      <c r="C296" s="4" t="s">
        <v>200</v>
      </c>
      <c r="D296" s="4" t="s">
        <v>72</v>
      </c>
      <c r="E296" s="4" t="s">
        <v>83</v>
      </c>
      <c r="F296" s="4">
        <v>129</v>
      </c>
      <c r="G296" s="4">
        <v>643</v>
      </c>
      <c r="H296" s="4">
        <v>136</v>
      </c>
      <c r="I296" s="4">
        <v>1290</v>
      </c>
      <c r="J296" s="4">
        <v>839</v>
      </c>
      <c r="K296" s="4">
        <v>238</v>
      </c>
      <c r="L296" s="4" t="s">
        <v>28</v>
      </c>
      <c r="M296" s="4"/>
      <c r="N296">
        <v>2.466030989272944</v>
      </c>
      <c r="P296" t="str">
        <f>IF(AND(C296 &gt;= 'Campaign Metadata'!B$2, C296 &lt;= 'Campaign Metadata'!C$2), 'Campaign Metadata'!A$2,
 IF(AND(C296 &gt;= 'Campaign Metadata'!B$3, C296 &lt;= 'Campaign Metadata'!C$3), 'Campaign Metadata'!A$3,
 IF(AND(C296 &gt;= 'Campaign Metadata'!B$4, C296 &lt;= 'Campaign Metadata'!C$4), 'Campaign Metadata'!A$4,
 IF(AND(C296 &gt;= 'Campaign Metadata'!B$5, C296 &lt;= 'Campaign Metadata'!C$5), 'Campaign Metadata'!A$5, "No Campaign"))))</f>
        <v>No Campaign</v>
      </c>
    </row>
    <row r="297" spans="1:16" ht="15.75" customHeight="1" x14ac:dyDescent="0.3">
      <c r="A297" s="4" t="s">
        <v>313</v>
      </c>
      <c r="B297" s="4" t="s">
        <v>599</v>
      </c>
      <c r="C297" s="4" t="s">
        <v>268</v>
      </c>
      <c r="D297" s="4" t="s">
        <v>43</v>
      </c>
      <c r="E297" s="4" t="s">
        <v>66</v>
      </c>
      <c r="F297" s="4">
        <v>80</v>
      </c>
      <c r="G297" s="4">
        <v>362</v>
      </c>
      <c r="H297" s="4">
        <v>80</v>
      </c>
      <c r="I297" s="4">
        <v>1040</v>
      </c>
      <c r="J297" s="4">
        <v>349</v>
      </c>
      <c r="K297" s="4">
        <v>117</v>
      </c>
      <c r="L297" s="4" t="s">
        <v>28</v>
      </c>
      <c r="M297" s="4"/>
      <c r="N297">
        <v>4.2464183381088825</v>
      </c>
      <c r="P297" t="str">
        <f>IF(AND(C297 &gt;= 'Campaign Metadata'!B$2, C297 &lt;= 'Campaign Metadata'!C$2), 'Campaign Metadata'!A$2,
 IF(AND(C297 &gt;= 'Campaign Metadata'!B$3, C297 &lt;= 'Campaign Metadata'!C$3), 'Campaign Metadata'!A$3,
 IF(AND(C297 &gt;= 'Campaign Metadata'!B$4, C297 &lt;= 'Campaign Metadata'!C$4), 'Campaign Metadata'!A$4,
 IF(AND(C297 &gt;= 'Campaign Metadata'!B$5, C297 &lt;= 'Campaign Metadata'!C$5), 'Campaign Metadata'!A$5, "No Campaign"))))</f>
        <v>ModelYCampaign</v>
      </c>
    </row>
    <row r="298" spans="1:16" ht="15.75" customHeight="1" x14ac:dyDescent="0.3">
      <c r="A298" s="4" t="s">
        <v>165</v>
      </c>
      <c r="B298" s="4" t="s">
        <v>31</v>
      </c>
      <c r="C298" s="4" t="s">
        <v>166</v>
      </c>
      <c r="D298" s="4" t="s">
        <v>16</v>
      </c>
      <c r="E298" s="4" t="s">
        <v>80</v>
      </c>
      <c r="F298" s="4">
        <v>103</v>
      </c>
      <c r="G298" s="4">
        <v>770</v>
      </c>
      <c r="H298" s="4">
        <v>19</v>
      </c>
      <c r="I298" s="4">
        <v>1030</v>
      </c>
      <c r="J298" s="4">
        <v>410</v>
      </c>
      <c r="K298" s="4">
        <v>262</v>
      </c>
      <c r="L298" s="4" t="s">
        <v>28</v>
      </c>
      <c r="M298" s="4"/>
      <c r="N298">
        <v>4.4365853658536585</v>
      </c>
      <c r="P298" t="str">
        <f>IF(AND(C298 &gt;= 'Campaign Metadata'!B$2, C298 &lt;= 'Campaign Metadata'!C$2), 'Campaign Metadata'!A$2,
 IF(AND(C298 &gt;= 'Campaign Metadata'!B$3, C298 &lt;= 'Campaign Metadata'!C$3), 'Campaign Metadata'!A$3,
 IF(AND(C298 &gt;= 'Campaign Metadata'!B$4, C298 &lt;= 'Campaign Metadata'!C$4), 'Campaign Metadata'!A$4,
 IF(AND(C298 &gt;= 'Campaign Metadata'!B$5, C298 &lt;= 'Campaign Metadata'!C$5), 'Campaign Metadata'!A$5, "No Campaign"))))</f>
        <v>No Campaign</v>
      </c>
    </row>
    <row r="299" spans="1:16" ht="15.75" customHeight="1" x14ac:dyDescent="0.3">
      <c r="A299" s="4" t="s">
        <v>173</v>
      </c>
      <c r="B299" s="4" t="s">
        <v>14</v>
      </c>
      <c r="C299" s="4" t="s">
        <v>174</v>
      </c>
      <c r="D299" s="4" t="s">
        <v>43</v>
      </c>
      <c r="E299" s="4" t="s">
        <v>47</v>
      </c>
      <c r="F299" s="4">
        <v>53</v>
      </c>
      <c r="G299" s="4">
        <v>81</v>
      </c>
      <c r="H299" s="4">
        <v>379</v>
      </c>
      <c r="I299" s="4">
        <v>954</v>
      </c>
      <c r="J299" s="4">
        <v>7</v>
      </c>
      <c r="K299" s="4">
        <v>148</v>
      </c>
      <c r="L299" s="4" t="s">
        <v>28</v>
      </c>
      <c r="M299" s="4"/>
      <c r="N299">
        <v>202</v>
      </c>
      <c r="P299" t="str">
        <f>IF(AND(C299 &gt;= 'Campaign Metadata'!B$2, C299 &lt;= 'Campaign Metadata'!C$2), 'Campaign Metadata'!A$2,
 IF(AND(C299 &gt;= 'Campaign Metadata'!B$3, C299 &lt;= 'Campaign Metadata'!C$3), 'Campaign Metadata'!A$3,
 IF(AND(C299 &gt;= 'Campaign Metadata'!B$4, C299 &lt;= 'Campaign Metadata'!C$4), 'Campaign Metadata'!A$4,
 IF(AND(C299 &gt;= 'Campaign Metadata'!B$5, C299 &lt;= 'Campaign Metadata'!C$5), 'Campaign Metadata'!A$5, "No Campaign"))))</f>
        <v>No Campaign</v>
      </c>
    </row>
    <row r="300" spans="1:16" ht="15.75" customHeight="1" x14ac:dyDescent="0.3">
      <c r="A300" s="4" t="s">
        <v>497</v>
      </c>
      <c r="B300" s="4" t="s">
        <v>14</v>
      </c>
      <c r="C300" s="4" t="s">
        <v>498</v>
      </c>
      <c r="D300" s="4" t="s">
        <v>50</v>
      </c>
      <c r="E300" s="4" t="s">
        <v>129</v>
      </c>
      <c r="F300" s="4">
        <v>59</v>
      </c>
      <c r="G300" s="4">
        <v>163</v>
      </c>
      <c r="H300" s="4">
        <v>93</v>
      </c>
      <c r="I300" s="4">
        <v>590</v>
      </c>
      <c r="J300" s="4">
        <v>475</v>
      </c>
      <c r="K300" s="4">
        <v>293</v>
      </c>
      <c r="L300" s="4" t="s">
        <v>28</v>
      </c>
      <c r="M300" s="4"/>
      <c r="N300">
        <v>1.7810526315789474</v>
      </c>
      <c r="P300" t="str">
        <f>IF(AND(C300 &gt;= 'Campaign Metadata'!B$2, C300 &lt;= 'Campaign Metadata'!C$2), 'Campaign Metadata'!A$2,
 IF(AND(C300 &gt;= 'Campaign Metadata'!B$3, C300 &lt;= 'Campaign Metadata'!C$3), 'Campaign Metadata'!A$3,
 IF(AND(C300 &gt;= 'Campaign Metadata'!B$4, C300 &lt;= 'Campaign Metadata'!C$4), 'Campaign Metadata'!A$4,
 IF(AND(C300 &gt;= 'Campaign Metadata'!B$5, C300 &lt;= 'Campaign Metadata'!C$5), 'Campaign Metadata'!A$5, "No Campaign"))))</f>
        <v>No Campaign</v>
      </c>
    </row>
    <row r="301" spans="1:16" ht="15.75" customHeight="1" x14ac:dyDescent="0.3">
      <c r="A301" s="4" t="s">
        <v>432</v>
      </c>
      <c r="B301" s="4" t="s">
        <v>31</v>
      </c>
      <c r="C301" s="4" t="s">
        <v>408</v>
      </c>
      <c r="D301" s="4" t="s">
        <v>33</v>
      </c>
      <c r="E301" s="4" t="s">
        <v>34</v>
      </c>
      <c r="F301" s="4">
        <v>84</v>
      </c>
      <c r="G301" s="4">
        <v>897</v>
      </c>
      <c r="H301" s="4">
        <v>85</v>
      </c>
      <c r="I301" s="4">
        <v>588</v>
      </c>
      <c r="J301" s="4">
        <v>8</v>
      </c>
      <c r="K301" s="4">
        <v>12</v>
      </c>
      <c r="L301" s="4" t="s">
        <v>35</v>
      </c>
      <c r="N301">
        <v>196.25</v>
      </c>
      <c r="P301" t="str">
        <f>IF(AND(C301 &gt;= 'Campaign Metadata'!B$2, C301 &lt;= 'Campaign Metadata'!C$2), 'Campaign Metadata'!A$2,
 IF(AND(C301 &gt;= 'Campaign Metadata'!B$3, C301 &lt;= 'Campaign Metadata'!C$3), 'Campaign Metadata'!A$3,
 IF(AND(C301 &gt;= 'Campaign Metadata'!B$4, C301 &lt;= 'Campaign Metadata'!C$4), 'Campaign Metadata'!A$4,
 IF(AND(C301 &gt;= 'Campaign Metadata'!B$5, C301 &lt;= 'Campaign Metadata'!C$5), 'Campaign Metadata'!A$5, "No Campaign"))))</f>
        <v>No Campaign</v>
      </c>
    </row>
    <row r="302" spans="1:16" ht="15.75" customHeight="1" x14ac:dyDescent="0.3"/>
    <row r="303" spans="1:16" ht="15.75" customHeight="1" x14ac:dyDescent="0.3"/>
    <row r="304" spans="1:16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AA68-792A-4CA0-8D08-5283DD0E8E32}">
  <dimension ref="A1:J28"/>
  <sheetViews>
    <sheetView topLeftCell="B1" zoomScale="115" zoomScaleNormal="115" workbookViewId="0">
      <selection activeCell="B22" sqref="B22:G22"/>
    </sheetView>
  </sheetViews>
  <sheetFormatPr defaultRowHeight="14.4" x14ac:dyDescent="0.3"/>
  <cols>
    <col min="1" max="1" width="19.44140625" customWidth="1"/>
    <col min="2" max="2" width="15.44140625" customWidth="1"/>
    <col min="3" max="3" width="15.5546875" customWidth="1"/>
    <col min="4" max="4" width="15.44140625" style="13" customWidth="1"/>
    <col min="5" max="5" width="14.5546875" customWidth="1"/>
    <col min="6" max="6" width="14.109375" customWidth="1"/>
    <col min="7" max="7" width="19.5546875" customWidth="1"/>
    <col min="8" max="8" width="23.6640625" customWidth="1"/>
    <col min="9" max="9" width="22.77734375" customWidth="1"/>
    <col min="10" max="10" width="23.21875" customWidth="1"/>
  </cols>
  <sheetData>
    <row r="1" spans="1:10" x14ac:dyDescent="0.3">
      <c r="A1" t="s">
        <v>620</v>
      </c>
      <c r="B1" t="s">
        <v>621</v>
      </c>
      <c r="C1" t="s">
        <v>622</v>
      </c>
      <c r="D1" s="13" t="s">
        <v>623</v>
      </c>
      <c r="E1" t="s">
        <v>624</v>
      </c>
      <c r="F1" t="s">
        <v>625</v>
      </c>
      <c r="G1" t="s">
        <v>626</v>
      </c>
      <c r="H1" t="s">
        <v>627</v>
      </c>
      <c r="I1" t="s">
        <v>620</v>
      </c>
      <c r="J1" t="s">
        <v>631</v>
      </c>
    </row>
    <row r="2" spans="1:10" x14ac:dyDescent="0.3">
      <c r="A2" t="s">
        <v>18</v>
      </c>
      <c r="B2">
        <f>SUMIF(Posts!P:P, A2, Posts!J:J)</f>
        <v>1157851</v>
      </c>
      <c r="C2">
        <f>AVERAGEIF(Posts!P:P, A2, Posts!G:G)</f>
        <v>405.62962962962962</v>
      </c>
      <c r="D2" s="13">
        <f>AVERAGEIF(Posts!P:P, A2, Posts!N:N)</f>
        <v>1.0422737010586747</v>
      </c>
      <c r="E2">
        <f>SUMIF(Posts!P:P, A2, Posts!K:K)</f>
        <v>3759</v>
      </c>
      <c r="F2">
        <f>SUMIFS('Engagement Summary'!G:G, 'Engagement Summary'!A:A, "&gt;=" &amp; 'Campaign Metadata'!B2, 'Engagement Summary'!A:A, "&lt;=" &amp; 'Campaign Metadata'!C2)</f>
        <v>468757</v>
      </c>
      <c r="G2">
        <f>SUMIF(Posts!P:P, A2, Posts!G:G) + SUMIF(Posts!P:P, A2, Posts!H:H) + SUMIF(Posts!P:P, A2, Posts!I:I)</f>
        <v>1189097</v>
      </c>
      <c r="H2">
        <f>G2/F2</f>
        <v>2.5367023852443804</v>
      </c>
      <c r="I2">
        <f>SUMIFS('Engagement Summary'!C:C, 'Engagement Summary'!A:A, "&gt;=" &amp; 'Campaign Metadata'!B2, 'Engagement Summary'!A:A, "&lt;=" &amp; 'Campaign Metadata'!C2)</f>
        <v>18105</v>
      </c>
      <c r="J2" s="14"/>
    </row>
    <row r="3" spans="1:10" x14ac:dyDescent="0.3">
      <c r="A3" t="s">
        <v>23</v>
      </c>
      <c r="B3">
        <f>SUMIF(Posts!P:P, A3, Posts!J:J)</f>
        <v>1463004</v>
      </c>
      <c r="C3">
        <f>AVERAGEIF(Posts!P:P, A3, Posts!G:G)</f>
        <v>593.31428571428569</v>
      </c>
      <c r="D3" s="13">
        <f>AVERAGEIF(Posts!P:P, A3, Posts!N:N)</f>
        <v>1.1494606727312122</v>
      </c>
      <c r="E3">
        <f>SUMIF(Posts!P:P, A3, Posts!K:K)</f>
        <v>4629</v>
      </c>
      <c r="F3">
        <f>SUMIFS('Engagement Summary'!G:G, 'Engagement Summary'!A:A, "&gt;=" &amp; 'Campaign Metadata'!B3, 'Engagement Summary'!A:A, "&lt;=" &amp; 'Campaign Metadata'!C3)</f>
        <v>447611</v>
      </c>
      <c r="G3">
        <f>SUMIF(Posts!P:P, A3, Posts!G:G) + SUMIF(Posts!P:P, A3, Posts!H:H) + SUMIF(Posts!P:P, A3, Posts!I:I)</f>
        <v>1510761</v>
      </c>
      <c r="H3">
        <f t="shared" ref="H3:H5" si="0">G3/F3</f>
        <v>3.375165042860877</v>
      </c>
      <c r="I3">
        <f>SUMIFS('Engagement Summary'!C:C, 'Engagement Summary'!A:A, "&gt;=" &amp; 'Campaign Metadata'!B3, 'Engagement Summary'!A:A, "&lt;=" &amp; 'Campaign Metadata'!C3)</f>
        <v>14518</v>
      </c>
      <c r="J3" s="14"/>
    </row>
    <row r="4" spans="1:10" x14ac:dyDescent="0.3">
      <c r="A4" t="s">
        <v>29</v>
      </c>
      <c r="B4">
        <f>SUMIF(Posts!P:P, A4, Posts!J:J)</f>
        <v>268852</v>
      </c>
      <c r="C4">
        <f>AVERAGEIF(Posts!P:P, A4, Posts!G:G)</f>
        <v>438.9</v>
      </c>
      <c r="D4" s="13">
        <f>AVERAGEIF(Posts!P:P, A4, Posts!N:N)</f>
        <v>1.078105260265116</v>
      </c>
      <c r="E4">
        <f>SUMIF(Posts!P:P, A4, Posts!K:K)</f>
        <v>1056</v>
      </c>
      <c r="F4">
        <f>SUMIFS('Engagement Summary'!G:G, 'Engagement Summary'!A:A, "&gt;=" &amp; 'Campaign Metadata'!B4, 'Engagement Summary'!A:A, "&lt;=" &amp; 'Campaign Metadata'!C4)</f>
        <v>151428</v>
      </c>
      <c r="G4">
        <f>SUMIF(Posts!P:P, A4, Posts!G:G) + SUMIF(Posts!P:P, A4, Posts!H:H) + SUMIF(Posts!P:P, A4, Posts!I:I)</f>
        <v>281116</v>
      </c>
      <c r="H4">
        <f t="shared" si="0"/>
        <v>1.8564334205034736</v>
      </c>
      <c r="I4">
        <f>SUMIFS('Engagement Summary'!C:C, 'Engagement Summary'!A:A, "&gt;=" &amp; 'Campaign Metadata'!B4, 'Engagement Summary'!A:A, "&lt;=" &amp; 'Campaign Metadata'!C4)</f>
        <v>11428</v>
      </c>
      <c r="J4" s="14"/>
    </row>
    <row r="5" spans="1:10" x14ac:dyDescent="0.3">
      <c r="A5" t="s">
        <v>36</v>
      </c>
      <c r="B5">
        <f>SUMIF(Posts!P:P, A5, Posts!J:J)</f>
        <v>1021386</v>
      </c>
      <c r="C5">
        <f>AVERAGEIF(Posts!P:P, A5, Posts!G:G)</f>
        <v>485.96875</v>
      </c>
      <c r="D5" s="13">
        <f>AVERAGEIF(Posts!P:P, A5, Posts!N:N)</f>
        <v>1.0788523282950755</v>
      </c>
      <c r="E5">
        <f>SUMIF(Posts!P:P, A5, Posts!K:K)</f>
        <v>5178</v>
      </c>
      <c r="F5">
        <f>SUMIFS('Engagement Summary'!G:G, 'Engagement Summary'!A:A, "&gt;=" &amp; 'Campaign Metadata'!B5, 'Engagement Summary'!A:A, "&lt;=" &amp; 'Campaign Metadata'!C5)</f>
        <v>423771</v>
      </c>
      <c r="G5">
        <f>SUMIF(Posts!P:P, A5, Posts!G:G) + SUMIF(Posts!P:P, A5, Posts!H:H) + SUMIF(Posts!P:P, A5, Posts!I:I)</f>
        <v>1066686</v>
      </c>
      <c r="H5">
        <f t="shared" si="0"/>
        <v>2.5171283547010059</v>
      </c>
      <c r="I5">
        <f>SUMIFS('Engagement Summary'!C:C, 'Engagement Summary'!A:A, "&gt;=" &amp; 'Campaign Metadata'!B5, 'Engagement Summary'!A:A, "&lt;=" &amp; 'Campaign Metadata'!C5)</f>
        <v>20682</v>
      </c>
      <c r="J5" s="14"/>
    </row>
    <row r="10" spans="1:10" x14ac:dyDescent="0.3">
      <c r="A10" s="16" t="s">
        <v>620</v>
      </c>
      <c r="B10" t="s">
        <v>628</v>
      </c>
      <c r="C10" t="s">
        <v>629</v>
      </c>
      <c r="D10" s="13" t="s">
        <v>630</v>
      </c>
    </row>
    <row r="11" spans="1:10" x14ac:dyDescent="0.3">
      <c r="A11" t="s">
        <v>18</v>
      </c>
      <c r="B11" s="13">
        <f>IFERROR(AVERAGEIFS(Posts!N:N, Posts!C:C, "&gt;=" &amp; DATE(2024,5,18), Posts!C:C, "&lt;" &amp; DATE(2024,6,15)), AVERAGE(Posts!N:N))</f>
        <v>2.4307405956775807</v>
      </c>
      <c r="C11" s="13">
        <f>D2</f>
        <v>1.0422737010586747</v>
      </c>
      <c r="D11" s="13">
        <f>(C11-B11)/B11</f>
        <v>-0.57121146414714985</v>
      </c>
      <c r="E11" s="14"/>
    </row>
    <row r="12" spans="1:10" x14ac:dyDescent="0.3">
      <c r="A12" t="s">
        <v>23</v>
      </c>
      <c r="B12" s="13">
        <f>IFERROR(AVERAGEIFS(Posts!N:N, Posts!C:C, "&gt;=" &amp; DATE(2024,9,3), Posts!C:C, "&lt;" &amp; DATE(2024,10,1)), AVERAGE(Posts!N:N))</f>
        <v>2.4307405956775807</v>
      </c>
      <c r="C12" s="13">
        <f>D3</f>
        <v>1.1494606727312122</v>
      </c>
      <c r="D12" s="13">
        <f t="shared" ref="D12:D14" si="1">(C12-B12)/B12</f>
        <v>-0.52711503861201014</v>
      </c>
      <c r="E12" s="14"/>
    </row>
    <row r="13" spans="1:10" x14ac:dyDescent="0.3">
      <c r="A13" t="s">
        <v>29</v>
      </c>
      <c r="B13" s="13">
        <f>IFERROR(AVERAGEIFS(Posts!N:N, Posts!C:C, "&gt;=" &amp; DATE(2024,11,27), Posts!C:C, "&lt;" &amp; DATE(2024,12,25)), AVERAGE(Posts!N:N))</f>
        <v>2.4307405956775807</v>
      </c>
      <c r="C13" s="13">
        <f>D4</f>
        <v>1.078105260265116</v>
      </c>
      <c r="D13" s="13">
        <f t="shared" si="1"/>
        <v>-0.55647045917518445</v>
      </c>
      <c r="E13" s="14"/>
    </row>
    <row r="14" spans="1:10" x14ac:dyDescent="0.3">
      <c r="A14" t="s">
        <v>36</v>
      </c>
      <c r="B14" s="13">
        <f>IFERROR(AVERAGEIFS(Posts!N:N, Posts!C:C, "&gt;=" &amp; DATE(2024,11,27), Posts!C:C, "&lt;" &amp; DATE(2024,12,25)), AVERAGE(Posts!N:N))</f>
        <v>2.4307405956775807</v>
      </c>
      <c r="C14" s="13">
        <f>D5</f>
        <v>1.0788523282950755</v>
      </c>
      <c r="D14" s="13">
        <f t="shared" si="1"/>
        <v>-0.5561631174410282</v>
      </c>
    </row>
    <row r="21" spans="3:3" x14ac:dyDescent="0.3">
      <c r="C21" s="5"/>
    </row>
    <row r="28" spans="3:3" x14ac:dyDescent="0.3">
      <c r="C28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G201"/>
    </sheetView>
  </sheetViews>
  <sheetFormatPr defaultColWidth="14.44140625" defaultRowHeight="15" customHeight="1" x14ac:dyDescent="0.3"/>
  <cols>
    <col min="1" max="1" width="26.88671875" customWidth="1"/>
    <col min="2" max="2" width="18.44140625" customWidth="1"/>
    <col min="3" max="3" width="13.6640625" customWidth="1"/>
    <col min="4" max="4" width="15.6640625" customWidth="1"/>
    <col min="5" max="5" width="20.88671875" customWidth="1"/>
    <col min="6" max="6" width="24.88671875" customWidth="1"/>
    <col min="7" max="7" width="14.44140625" customWidth="1"/>
    <col min="8" max="26" width="8.6640625" customWidth="1"/>
  </cols>
  <sheetData>
    <row r="1" spans="1:7" ht="14.4" x14ac:dyDescent="0.3">
      <c r="A1" s="1" t="s">
        <v>553</v>
      </c>
      <c r="B1" s="1" t="s">
        <v>1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</row>
    <row r="2" spans="1:7" ht="14.4" x14ac:dyDescent="0.3">
      <c r="A2" s="15">
        <v>45446</v>
      </c>
      <c r="B2" s="2" t="s">
        <v>31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7" ht="14.4" x14ac:dyDescent="0.3">
      <c r="A3" s="15">
        <v>45446</v>
      </c>
      <c r="B3" s="2" t="s">
        <v>41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7" ht="14.4" x14ac:dyDescent="0.3">
      <c r="A4" s="15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7" ht="14.4" x14ac:dyDescent="0.3">
      <c r="A5" s="15">
        <v>45446</v>
      </c>
      <c r="B5" s="2" t="s">
        <v>25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7" ht="14.4" x14ac:dyDescent="0.3">
      <c r="A6" s="15">
        <v>45453</v>
      </c>
      <c r="B6" s="2" t="s">
        <v>31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</row>
    <row r="7" spans="1:7" ht="14.4" x14ac:dyDescent="0.3">
      <c r="A7" s="15">
        <v>45453</v>
      </c>
      <c r="B7" s="2" t="s">
        <v>41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7" ht="14.4" x14ac:dyDescent="0.3">
      <c r="A8" s="15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7" ht="14.4" x14ac:dyDescent="0.3">
      <c r="A9" s="15">
        <v>45453</v>
      </c>
      <c r="B9" s="2" t="s">
        <v>25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7" ht="14.4" x14ac:dyDescent="0.3">
      <c r="A10" s="15">
        <v>45460</v>
      </c>
      <c r="B10" s="2" t="s">
        <v>31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7" ht="14.4" x14ac:dyDescent="0.3">
      <c r="A11" s="15">
        <v>45460</v>
      </c>
      <c r="B11" s="2" t="s">
        <v>41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7" ht="14.4" x14ac:dyDescent="0.3">
      <c r="A12" s="15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7" ht="14.4" x14ac:dyDescent="0.3">
      <c r="A13" s="15">
        <v>45460</v>
      </c>
      <c r="B13" s="2" t="s">
        <v>25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7" ht="14.4" x14ac:dyDescent="0.3">
      <c r="A14" s="15">
        <v>45467</v>
      </c>
      <c r="B14" s="2" t="s">
        <v>31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7" ht="14.4" x14ac:dyDescent="0.3">
      <c r="A15" s="15">
        <v>45467</v>
      </c>
      <c r="B15" s="2" t="s">
        <v>41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7" ht="14.4" x14ac:dyDescent="0.3">
      <c r="A16" s="15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ht="14.4" x14ac:dyDescent="0.3">
      <c r="A17" s="15">
        <v>45467</v>
      </c>
      <c r="B17" s="2" t="s">
        <v>25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ht="14.4" x14ac:dyDescent="0.3">
      <c r="A18" s="15">
        <v>45474</v>
      </c>
      <c r="B18" s="2" t="s">
        <v>31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ht="14.4" x14ac:dyDescent="0.3">
      <c r="A19" s="15">
        <v>45474</v>
      </c>
      <c r="B19" s="2" t="s">
        <v>41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ht="14.4" x14ac:dyDescent="0.3">
      <c r="A20" s="15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ht="15.75" customHeight="1" x14ac:dyDescent="0.3">
      <c r="A21" s="15">
        <v>45474</v>
      </c>
      <c r="B21" s="2" t="s">
        <v>25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ht="15.75" customHeight="1" x14ac:dyDescent="0.3">
      <c r="A22" s="15">
        <v>45481</v>
      </c>
      <c r="B22" s="2" t="s">
        <v>31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ht="15.75" customHeight="1" x14ac:dyDescent="0.3">
      <c r="A23" s="15">
        <v>45481</v>
      </c>
      <c r="B23" s="2" t="s">
        <v>41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ht="15.75" customHeight="1" x14ac:dyDescent="0.3">
      <c r="A24" s="15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ht="15.75" customHeight="1" x14ac:dyDescent="0.3">
      <c r="A25" s="15">
        <v>45481</v>
      </c>
      <c r="B25" s="2" t="s">
        <v>25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ht="15.75" customHeight="1" x14ac:dyDescent="0.3">
      <c r="A26" s="15">
        <v>45488</v>
      </c>
      <c r="B26" s="2" t="s">
        <v>31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ht="15.75" customHeight="1" x14ac:dyDescent="0.3">
      <c r="A27" s="15">
        <v>45488</v>
      </c>
      <c r="B27" s="2" t="s">
        <v>41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ht="15.75" customHeight="1" x14ac:dyDescent="0.3">
      <c r="A28" s="15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ht="15.75" customHeight="1" x14ac:dyDescent="0.3">
      <c r="A29" s="15">
        <v>45488</v>
      </c>
      <c r="B29" s="2" t="s">
        <v>25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ht="15.75" customHeight="1" x14ac:dyDescent="0.3">
      <c r="A30" s="15">
        <v>45495</v>
      </c>
      <c r="B30" s="2" t="s">
        <v>31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ht="15.75" customHeight="1" x14ac:dyDescent="0.3">
      <c r="A31" s="15">
        <v>45495</v>
      </c>
      <c r="B31" s="2" t="s">
        <v>41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ht="15.75" customHeight="1" x14ac:dyDescent="0.3">
      <c r="A32" s="15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ht="15.75" customHeight="1" x14ac:dyDescent="0.3">
      <c r="A33" s="15">
        <v>45495</v>
      </c>
      <c r="B33" s="2" t="s">
        <v>25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ht="15.75" customHeight="1" x14ac:dyDescent="0.3">
      <c r="A34" s="15">
        <v>45502</v>
      </c>
      <c r="B34" s="2" t="s">
        <v>31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ht="15.75" customHeight="1" x14ac:dyDescent="0.3">
      <c r="A35" s="15">
        <v>45502</v>
      </c>
      <c r="B35" s="2" t="s">
        <v>41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ht="15.75" customHeight="1" x14ac:dyDescent="0.3">
      <c r="A36" s="15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ht="15.75" customHeight="1" x14ac:dyDescent="0.3">
      <c r="A37" s="15">
        <v>45502</v>
      </c>
      <c r="B37" s="2" t="s">
        <v>25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ht="15.75" customHeight="1" x14ac:dyDescent="0.3">
      <c r="A38" s="15">
        <v>45509</v>
      </c>
      <c r="B38" s="2" t="s">
        <v>31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ht="15.75" customHeight="1" x14ac:dyDescent="0.3">
      <c r="A39" s="15">
        <v>45509</v>
      </c>
      <c r="B39" s="2" t="s">
        <v>41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ht="15.75" customHeight="1" x14ac:dyDescent="0.3">
      <c r="A40" s="15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ht="15.75" customHeight="1" x14ac:dyDescent="0.3">
      <c r="A41" s="15">
        <v>45509</v>
      </c>
      <c r="B41" s="2" t="s">
        <v>25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ht="15.75" customHeight="1" x14ac:dyDescent="0.3">
      <c r="A42" s="15">
        <v>45516</v>
      </c>
      <c r="B42" s="2" t="s">
        <v>31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ht="15.75" customHeight="1" x14ac:dyDescent="0.3">
      <c r="A43" s="15">
        <v>45516</v>
      </c>
      <c r="B43" s="2" t="s">
        <v>41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ht="15.75" customHeight="1" x14ac:dyDescent="0.3">
      <c r="A44" s="15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ht="15.75" customHeight="1" x14ac:dyDescent="0.3">
      <c r="A45" s="15">
        <v>45516</v>
      </c>
      <c r="B45" s="2" t="s">
        <v>25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ht="15.75" customHeight="1" x14ac:dyDescent="0.3">
      <c r="A46" s="15">
        <v>45523</v>
      </c>
      <c r="B46" s="2" t="s">
        <v>31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ht="15.75" customHeight="1" x14ac:dyDescent="0.3">
      <c r="A47" s="15">
        <v>45523</v>
      </c>
      <c r="B47" s="2" t="s">
        <v>41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ht="15.75" customHeight="1" x14ac:dyDescent="0.3">
      <c r="A48" s="15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ht="15.75" customHeight="1" x14ac:dyDescent="0.3">
      <c r="A49" s="15">
        <v>45523</v>
      </c>
      <c r="B49" s="2" t="s">
        <v>25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ht="15.75" customHeight="1" x14ac:dyDescent="0.3">
      <c r="A50" s="15">
        <v>45530</v>
      </c>
      <c r="B50" s="2" t="s">
        <v>31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ht="15.75" customHeight="1" x14ac:dyDescent="0.3">
      <c r="A51" s="15">
        <v>45530</v>
      </c>
      <c r="B51" s="2" t="s">
        <v>41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ht="15.75" customHeight="1" x14ac:dyDescent="0.3">
      <c r="A52" s="15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ht="15.75" customHeight="1" x14ac:dyDescent="0.3">
      <c r="A53" s="15">
        <v>45530</v>
      </c>
      <c r="B53" s="2" t="s">
        <v>25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ht="15.75" customHeight="1" x14ac:dyDescent="0.3">
      <c r="A54" s="15">
        <v>45537</v>
      </c>
      <c r="B54" s="2" t="s">
        <v>31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ht="15.75" customHeight="1" x14ac:dyDescent="0.3">
      <c r="A55" s="15">
        <v>45537</v>
      </c>
      <c r="B55" s="2" t="s">
        <v>41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ht="15.75" customHeight="1" x14ac:dyDescent="0.3">
      <c r="A56" s="15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ht="15.75" customHeight="1" x14ac:dyDescent="0.3">
      <c r="A57" s="15">
        <v>45537</v>
      </c>
      <c r="B57" s="2" t="s">
        <v>25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ht="15.75" customHeight="1" x14ac:dyDescent="0.3">
      <c r="A58" s="15">
        <v>45544</v>
      </c>
      <c r="B58" s="2" t="s">
        <v>31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ht="15.75" customHeight="1" x14ac:dyDescent="0.3">
      <c r="A59" s="15">
        <v>45544</v>
      </c>
      <c r="B59" s="2" t="s">
        <v>41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ht="15.75" customHeight="1" x14ac:dyDescent="0.3">
      <c r="A60" s="15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ht="15.75" customHeight="1" x14ac:dyDescent="0.3">
      <c r="A61" s="15">
        <v>45544</v>
      </c>
      <c r="B61" s="2" t="s">
        <v>25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ht="15.75" customHeight="1" x14ac:dyDescent="0.3">
      <c r="A62" s="15">
        <v>45551</v>
      </c>
      <c r="B62" s="2" t="s">
        <v>31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ht="15.75" customHeight="1" x14ac:dyDescent="0.3">
      <c r="A63" s="15">
        <v>45551</v>
      </c>
      <c r="B63" s="2" t="s">
        <v>41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ht="15.75" customHeight="1" x14ac:dyDescent="0.3">
      <c r="A64" s="15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ht="15.75" customHeight="1" x14ac:dyDescent="0.3">
      <c r="A65" s="15">
        <v>45551</v>
      </c>
      <c r="B65" s="2" t="s">
        <v>25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ht="15.75" customHeight="1" x14ac:dyDescent="0.3">
      <c r="A66" s="15">
        <v>45558</v>
      </c>
      <c r="B66" s="2" t="s">
        <v>31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ht="15.75" customHeight="1" x14ac:dyDescent="0.3">
      <c r="A67" s="15">
        <v>45558</v>
      </c>
      <c r="B67" s="2" t="s">
        <v>41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ht="15.75" customHeight="1" x14ac:dyDescent="0.3">
      <c r="A68" s="15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ht="15.75" customHeight="1" x14ac:dyDescent="0.3">
      <c r="A69" s="15">
        <v>45558</v>
      </c>
      <c r="B69" s="2" t="s">
        <v>25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ht="15.75" customHeight="1" x14ac:dyDescent="0.3">
      <c r="A70" s="15">
        <v>45565</v>
      </c>
      <c r="B70" s="2" t="s">
        <v>31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ht="15.75" customHeight="1" x14ac:dyDescent="0.3">
      <c r="A71" s="15">
        <v>45565</v>
      </c>
      <c r="B71" s="2" t="s">
        <v>41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ht="15.75" customHeight="1" x14ac:dyDescent="0.3">
      <c r="A72" s="15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ht="15.75" customHeight="1" x14ac:dyDescent="0.3">
      <c r="A73" s="15">
        <v>45565</v>
      </c>
      <c r="B73" s="2" t="s">
        <v>25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ht="15.75" customHeight="1" x14ac:dyDescent="0.3">
      <c r="A74" s="15">
        <v>45572</v>
      </c>
      <c r="B74" s="2" t="s">
        <v>31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ht="15.75" customHeight="1" x14ac:dyDescent="0.3">
      <c r="A75" s="15">
        <v>45572</v>
      </c>
      <c r="B75" s="2" t="s">
        <v>41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ht="15.75" customHeight="1" x14ac:dyDescent="0.3">
      <c r="A76" s="15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ht="15.75" customHeight="1" x14ac:dyDescent="0.3">
      <c r="A77" s="15">
        <v>45572</v>
      </c>
      <c r="B77" s="2" t="s">
        <v>25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ht="15.75" customHeight="1" x14ac:dyDescent="0.3">
      <c r="A78" s="15">
        <v>45579</v>
      </c>
      <c r="B78" s="2" t="s">
        <v>31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ht="15.75" customHeight="1" x14ac:dyDescent="0.3">
      <c r="A79" s="15">
        <v>45579</v>
      </c>
      <c r="B79" s="2" t="s">
        <v>41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ht="15.75" customHeight="1" x14ac:dyDescent="0.3">
      <c r="A80" s="15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ht="15.75" customHeight="1" x14ac:dyDescent="0.3">
      <c r="A81" s="15">
        <v>45579</v>
      </c>
      <c r="B81" s="2" t="s">
        <v>25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ht="15.75" customHeight="1" x14ac:dyDescent="0.3">
      <c r="A82" s="15">
        <v>45586</v>
      </c>
      <c r="B82" s="2" t="s">
        <v>31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ht="15.75" customHeight="1" x14ac:dyDescent="0.3">
      <c r="A83" s="15">
        <v>45586</v>
      </c>
      <c r="B83" s="2" t="s">
        <v>41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ht="15.75" customHeight="1" x14ac:dyDescent="0.3">
      <c r="A84" s="15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ht="15.75" customHeight="1" x14ac:dyDescent="0.3">
      <c r="A85" s="15">
        <v>45586</v>
      </c>
      <c r="B85" s="2" t="s">
        <v>25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ht="15.75" customHeight="1" x14ac:dyDescent="0.3">
      <c r="A86" s="15">
        <v>45593</v>
      </c>
      <c r="B86" s="2" t="s">
        <v>31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ht="15.75" customHeight="1" x14ac:dyDescent="0.3">
      <c r="A87" s="15">
        <v>45593</v>
      </c>
      <c r="B87" s="2" t="s">
        <v>41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ht="15.75" customHeight="1" x14ac:dyDescent="0.3">
      <c r="A88" s="15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ht="15.75" customHeight="1" x14ac:dyDescent="0.3">
      <c r="A89" s="15">
        <v>45593</v>
      </c>
      <c r="B89" s="2" t="s">
        <v>25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ht="15.75" customHeight="1" x14ac:dyDescent="0.3">
      <c r="A90" s="15">
        <v>45600</v>
      </c>
      <c r="B90" s="2" t="s">
        <v>31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ht="15.75" customHeight="1" x14ac:dyDescent="0.3">
      <c r="A91" s="15">
        <v>45600</v>
      </c>
      <c r="B91" s="2" t="s">
        <v>41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ht="15.75" customHeight="1" x14ac:dyDescent="0.3">
      <c r="A92" s="15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ht="15.75" customHeight="1" x14ac:dyDescent="0.3">
      <c r="A93" s="15">
        <v>45600</v>
      </c>
      <c r="B93" s="2" t="s">
        <v>25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ht="15.75" customHeight="1" x14ac:dyDescent="0.3">
      <c r="A94" s="15">
        <v>45607</v>
      </c>
      <c r="B94" s="2" t="s">
        <v>31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ht="15.75" customHeight="1" x14ac:dyDescent="0.3">
      <c r="A95" s="15">
        <v>45607</v>
      </c>
      <c r="B95" s="2" t="s">
        <v>41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ht="15.75" customHeight="1" x14ac:dyDescent="0.3">
      <c r="A96" s="15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ht="15.75" customHeight="1" x14ac:dyDescent="0.3">
      <c r="A97" s="15">
        <v>45607</v>
      </c>
      <c r="B97" s="2" t="s">
        <v>25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ht="15.75" customHeight="1" x14ac:dyDescent="0.3">
      <c r="A98" s="15">
        <v>45614</v>
      </c>
      <c r="B98" s="2" t="s">
        <v>31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ht="15.75" customHeight="1" x14ac:dyDescent="0.3">
      <c r="A99" s="15">
        <v>45614</v>
      </c>
      <c r="B99" s="2" t="s">
        <v>41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ht="15.75" customHeight="1" x14ac:dyDescent="0.3">
      <c r="A100" s="15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ht="15.75" customHeight="1" x14ac:dyDescent="0.3">
      <c r="A101" s="15">
        <v>45614</v>
      </c>
      <c r="B101" s="2" t="s">
        <v>25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ht="15.75" customHeight="1" x14ac:dyDescent="0.3">
      <c r="A102" s="15">
        <v>45621</v>
      </c>
      <c r="B102" s="2" t="s">
        <v>31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ht="15.75" customHeight="1" x14ac:dyDescent="0.3">
      <c r="A103" s="15">
        <v>45621</v>
      </c>
      <c r="B103" s="2" t="s">
        <v>41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ht="15.75" customHeight="1" x14ac:dyDescent="0.3">
      <c r="A104" s="15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ht="15.75" customHeight="1" x14ac:dyDescent="0.3">
      <c r="A105" s="15">
        <v>45621</v>
      </c>
      <c r="B105" s="2" t="s">
        <v>25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ht="15.75" customHeight="1" x14ac:dyDescent="0.3">
      <c r="A106" s="15">
        <v>45628</v>
      </c>
      <c r="B106" s="2" t="s">
        <v>31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ht="15.75" customHeight="1" x14ac:dyDescent="0.3">
      <c r="A107" s="15">
        <v>45628</v>
      </c>
      <c r="B107" s="2" t="s">
        <v>41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ht="15.75" customHeight="1" x14ac:dyDescent="0.3">
      <c r="A108" s="15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ht="15.75" customHeight="1" x14ac:dyDescent="0.3">
      <c r="A109" s="15">
        <v>45628</v>
      </c>
      <c r="B109" s="2" t="s">
        <v>25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ht="15.75" customHeight="1" x14ac:dyDescent="0.3">
      <c r="A110" s="15">
        <v>45635</v>
      </c>
      <c r="B110" s="2" t="s">
        <v>31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ht="15.75" customHeight="1" x14ac:dyDescent="0.3">
      <c r="A111" s="15">
        <v>45635</v>
      </c>
      <c r="B111" s="2" t="s">
        <v>41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ht="15.75" customHeight="1" x14ac:dyDescent="0.3">
      <c r="A112" s="15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ht="15.75" customHeight="1" x14ac:dyDescent="0.3">
      <c r="A113" s="15">
        <v>45635</v>
      </c>
      <c r="B113" s="2" t="s">
        <v>25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ht="15.75" customHeight="1" x14ac:dyDescent="0.3">
      <c r="A114" s="15">
        <v>45642</v>
      </c>
      <c r="B114" s="2" t="s">
        <v>31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ht="15.75" customHeight="1" x14ac:dyDescent="0.3">
      <c r="A115" s="15">
        <v>45642</v>
      </c>
      <c r="B115" s="2" t="s">
        <v>41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ht="15.75" customHeight="1" x14ac:dyDescent="0.3">
      <c r="A116" s="15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ht="15.75" customHeight="1" x14ac:dyDescent="0.3">
      <c r="A117" s="15">
        <v>45642</v>
      </c>
      <c r="B117" s="2" t="s">
        <v>25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ht="15.75" customHeight="1" x14ac:dyDescent="0.3">
      <c r="A118" s="15">
        <v>45649</v>
      </c>
      <c r="B118" s="2" t="s">
        <v>31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ht="15.75" customHeight="1" x14ac:dyDescent="0.3">
      <c r="A119" s="15">
        <v>45649</v>
      </c>
      <c r="B119" s="2" t="s">
        <v>41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ht="15.75" customHeight="1" x14ac:dyDescent="0.3">
      <c r="A120" s="15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ht="15.75" customHeight="1" x14ac:dyDescent="0.3">
      <c r="A121" s="15">
        <v>45649</v>
      </c>
      <c r="B121" s="2" t="s">
        <v>25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ht="15.75" customHeight="1" x14ac:dyDescent="0.3">
      <c r="A122" s="15">
        <v>45656</v>
      </c>
      <c r="B122" s="2" t="s">
        <v>31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ht="15.75" customHeight="1" x14ac:dyDescent="0.3">
      <c r="A123" s="15">
        <v>45656</v>
      </c>
      <c r="B123" s="2" t="s">
        <v>41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ht="15.75" customHeight="1" x14ac:dyDescent="0.3">
      <c r="A124" s="15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ht="15.75" customHeight="1" x14ac:dyDescent="0.3">
      <c r="A125" s="15">
        <v>45656</v>
      </c>
      <c r="B125" s="2" t="s">
        <v>25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ht="15.75" customHeight="1" x14ac:dyDescent="0.3">
      <c r="A126" s="15">
        <v>45663</v>
      </c>
      <c r="B126" s="2" t="s">
        <v>31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ht="15.75" customHeight="1" x14ac:dyDescent="0.3">
      <c r="A127" s="15">
        <v>45663</v>
      </c>
      <c r="B127" s="2" t="s">
        <v>41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ht="15.75" customHeight="1" x14ac:dyDescent="0.3">
      <c r="A128" s="15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ht="15.75" customHeight="1" x14ac:dyDescent="0.3">
      <c r="A129" s="15">
        <v>45663</v>
      </c>
      <c r="B129" s="2" t="s">
        <v>25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ht="15.75" customHeight="1" x14ac:dyDescent="0.3">
      <c r="A130" s="15">
        <v>45670</v>
      </c>
      <c r="B130" s="2" t="s">
        <v>31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ht="15.75" customHeight="1" x14ac:dyDescent="0.3">
      <c r="A131" s="15">
        <v>45670</v>
      </c>
      <c r="B131" s="2" t="s">
        <v>41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ht="15.75" customHeight="1" x14ac:dyDescent="0.3">
      <c r="A132" s="15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ht="15.75" customHeight="1" x14ac:dyDescent="0.3">
      <c r="A133" s="15">
        <v>45670</v>
      </c>
      <c r="B133" s="2" t="s">
        <v>25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ht="15.75" customHeight="1" x14ac:dyDescent="0.3">
      <c r="A134" s="15">
        <v>45677</v>
      </c>
      <c r="B134" s="2" t="s">
        <v>31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ht="15.75" customHeight="1" x14ac:dyDescent="0.3">
      <c r="A135" s="15">
        <v>45677</v>
      </c>
      <c r="B135" s="2" t="s">
        <v>41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ht="15.75" customHeight="1" x14ac:dyDescent="0.3">
      <c r="A136" s="15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ht="15.75" customHeight="1" x14ac:dyDescent="0.3">
      <c r="A137" s="15">
        <v>45677</v>
      </c>
      <c r="B137" s="2" t="s">
        <v>25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ht="15.75" customHeight="1" x14ac:dyDescent="0.3">
      <c r="A138" s="15">
        <v>45684</v>
      </c>
      <c r="B138" s="2" t="s">
        <v>31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ht="15.75" customHeight="1" x14ac:dyDescent="0.3">
      <c r="A139" s="15">
        <v>45684</v>
      </c>
      <c r="B139" s="2" t="s">
        <v>41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ht="15.75" customHeight="1" x14ac:dyDescent="0.3">
      <c r="A140" s="15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ht="15.75" customHeight="1" x14ac:dyDescent="0.3">
      <c r="A141" s="15">
        <v>45684</v>
      </c>
      <c r="B141" s="2" t="s">
        <v>25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ht="15.75" customHeight="1" x14ac:dyDescent="0.3">
      <c r="A142" s="15">
        <v>45691</v>
      </c>
      <c r="B142" s="2" t="s">
        <v>31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ht="15.75" customHeight="1" x14ac:dyDescent="0.3">
      <c r="A143" s="15">
        <v>45691</v>
      </c>
      <c r="B143" s="2" t="s">
        <v>41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ht="15.75" customHeight="1" x14ac:dyDescent="0.3">
      <c r="A144" s="15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ht="15.75" customHeight="1" x14ac:dyDescent="0.3">
      <c r="A145" s="15">
        <v>45691</v>
      </c>
      <c r="B145" s="2" t="s">
        <v>25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ht="15.75" customHeight="1" x14ac:dyDescent="0.3">
      <c r="A146" s="15">
        <v>45698</v>
      </c>
      <c r="B146" s="2" t="s">
        <v>31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ht="15.75" customHeight="1" x14ac:dyDescent="0.3">
      <c r="A147" s="15">
        <v>45698</v>
      </c>
      <c r="B147" s="2" t="s">
        <v>41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ht="15.75" customHeight="1" x14ac:dyDescent="0.3">
      <c r="A148" s="15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ht="15.75" customHeight="1" x14ac:dyDescent="0.3">
      <c r="A149" s="15">
        <v>45698</v>
      </c>
      <c r="B149" s="2" t="s">
        <v>25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ht="15.75" customHeight="1" x14ac:dyDescent="0.3">
      <c r="A150" s="15">
        <v>45705</v>
      </c>
      <c r="B150" s="2" t="s">
        <v>31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ht="15.75" customHeight="1" x14ac:dyDescent="0.3">
      <c r="A151" s="15">
        <v>45705</v>
      </c>
      <c r="B151" s="2" t="s">
        <v>41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ht="15.75" customHeight="1" x14ac:dyDescent="0.3">
      <c r="A152" s="15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ht="15.75" customHeight="1" x14ac:dyDescent="0.3">
      <c r="A153" s="15">
        <v>45705</v>
      </c>
      <c r="B153" s="2" t="s">
        <v>25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ht="15.75" customHeight="1" x14ac:dyDescent="0.3">
      <c r="A154" s="15">
        <v>45712</v>
      </c>
      <c r="B154" s="2" t="s">
        <v>31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ht="15.75" customHeight="1" x14ac:dyDescent="0.3">
      <c r="A155" s="15">
        <v>45712</v>
      </c>
      <c r="B155" s="2" t="s">
        <v>41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ht="15.75" customHeight="1" x14ac:dyDescent="0.3">
      <c r="A156" s="15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ht="15.75" customHeight="1" x14ac:dyDescent="0.3">
      <c r="A157" s="15">
        <v>45712</v>
      </c>
      <c r="B157" s="2" t="s">
        <v>25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ht="15.75" customHeight="1" x14ac:dyDescent="0.3">
      <c r="A158" s="15">
        <v>45719</v>
      </c>
      <c r="B158" s="2" t="s">
        <v>31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ht="15.75" customHeight="1" x14ac:dyDescent="0.3">
      <c r="A159" s="15">
        <v>45719</v>
      </c>
      <c r="B159" s="2" t="s">
        <v>41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ht="15.75" customHeight="1" x14ac:dyDescent="0.3">
      <c r="A160" s="15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ht="15.75" customHeight="1" x14ac:dyDescent="0.3">
      <c r="A161" s="15">
        <v>45719</v>
      </c>
      <c r="B161" s="2" t="s">
        <v>25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ht="15.75" customHeight="1" x14ac:dyDescent="0.3">
      <c r="A162" s="15">
        <v>45726</v>
      </c>
      <c r="B162" s="2" t="s">
        <v>31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ht="15.75" customHeight="1" x14ac:dyDescent="0.3">
      <c r="A163" s="15">
        <v>45726</v>
      </c>
      <c r="B163" s="2" t="s">
        <v>41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ht="15.75" customHeight="1" x14ac:dyDescent="0.3">
      <c r="A164" s="15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ht="15.75" customHeight="1" x14ac:dyDescent="0.3">
      <c r="A165" s="15">
        <v>45726</v>
      </c>
      <c r="B165" s="2" t="s">
        <v>25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ht="15.75" customHeight="1" x14ac:dyDescent="0.3">
      <c r="A166" s="15">
        <v>45733</v>
      </c>
      <c r="B166" s="2" t="s">
        <v>31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ht="15.75" customHeight="1" x14ac:dyDescent="0.3">
      <c r="A167" s="15">
        <v>45733</v>
      </c>
      <c r="B167" s="2" t="s">
        <v>41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ht="15.75" customHeight="1" x14ac:dyDescent="0.3">
      <c r="A168" s="15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ht="15.75" customHeight="1" x14ac:dyDescent="0.3">
      <c r="A169" s="15">
        <v>45733</v>
      </c>
      <c r="B169" s="2" t="s">
        <v>25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ht="15.75" customHeight="1" x14ac:dyDescent="0.3">
      <c r="A170" s="15">
        <v>45740</v>
      </c>
      <c r="B170" s="2" t="s">
        <v>31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ht="15.75" customHeight="1" x14ac:dyDescent="0.3">
      <c r="A171" s="15">
        <v>45740</v>
      </c>
      <c r="B171" s="2" t="s">
        <v>41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ht="15.75" customHeight="1" x14ac:dyDescent="0.3">
      <c r="A172" s="15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ht="15.75" customHeight="1" x14ac:dyDescent="0.3">
      <c r="A173" s="15">
        <v>45740</v>
      </c>
      <c r="B173" s="2" t="s">
        <v>25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ht="15.75" customHeight="1" x14ac:dyDescent="0.3">
      <c r="A174" s="15">
        <v>45747</v>
      </c>
      <c r="B174" s="2" t="s">
        <v>31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ht="15.75" customHeight="1" x14ac:dyDescent="0.3">
      <c r="A175" s="15">
        <v>45747</v>
      </c>
      <c r="B175" s="2" t="s">
        <v>41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ht="15.75" customHeight="1" x14ac:dyDescent="0.3">
      <c r="A176" s="15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ht="15.75" customHeight="1" x14ac:dyDescent="0.3">
      <c r="A177" s="15">
        <v>45747</v>
      </c>
      <c r="B177" s="2" t="s">
        <v>25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ht="15.75" customHeight="1" x14ac:dyDescent="0.3">
      <c r="A178" s="15">
        <v>45754</v>
      </c>
      <c r="B178" s="2" t="s">
        <v>31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ht="15.75" customHeight="1" x14ac:dyDescent="0.3">
      <c r="A179" s="15">
        <v>45754</v>
      </c>
      <c r="B179" s="2" t="s">
        <v>41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ht="15.75" customHeight="1" x14ac:dyDescent="0.3">
      <c r="A180" s="15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ht="15.75" customHeight="1" x14ac:dyDescent="0.3">
      <c r="A181" s="15">
        <v>45754</v>
      </c>
      <c r="B181" s="2" t="s">
        <v>25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ht="15.75" customHeight="1" x14ac:dyDescent="0.3">
      <c r="A182" s="15">
        <v>45761</v>
      </c>
      <c r="B182" s="2" t="s">
        <v>31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ht="15.75" customHeight="1" x14ac:dyDescent="0.3">
      <c r="A183" s="15">
        <v>45761</v>
      </c>
      <c r="B183" s="2" t="s">
        <v>41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ht="15.75" customHeight="1" x14ac:dyDescent="0.3">
      <c r="A184" s="15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ht="15.75" customHeight="1" x14ac:dyDescent="0.3">
      <c r="A185" s="15">
        <v>45761</v>
      </c>
      <c r="B185" s="2" t="s">
        <v>25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ht="15.75" customHeight="1" x14ac:dyDescent="0.3">
      <c r="A186" s="15">
        <v>45768</v>
      </c>
      <c r="B186" s="2" t="s">
        <v>31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ht="15.75" customHeight="1" x14ac:dyDescent="0.3">
      <c r="A187" s="15">
        <v>45768</v>
      </c>
      <c r="B187" s="2" t="s">
        <v>41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ht="15.75" customHeight="1" x14ac:dyDescent="0.3">
      <c r="A188" s="15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ht="15.75" customHeight="1" x14ac:dyDescent="0.3">
      <c r="A189" s="15">
        <v>45768</v>
      </c>
      <c r="B189" s="2" t="s">
        <v>25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ht="15.75" customHeight="1" x14ac:dyDescent="0.3">
      <c r="A190" s="15">
        <v>45775</v>
      </c>
      <c r="B190" s="2" t="s">
        <v>31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ht="15.75" customHeight="1" x14ac:dyDescent="0.3">
      <c r="A191" s="15">
        <v>45775</v>
      </c>
      <c r="B191" s="2" t="s">
        <v>41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ht="15.75" customHeight="1" x14ac:dyDescent="0.3">
      <c r="A192" s="15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ht="15.75" customHeight="1" x14ac:dyDescent="0.3">
      <c r="A193" s="15">
        <v>45775</v>
      </c>
      <c r="B193" s="2" t="s">
        <v>25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ht="15.75" customHeight="1" x14ac:dyDescent="0.3">
      <c r="A194" s="15">
        <v>45782</v>
      </c>
      <c r="B194" s="2" t="s">
        <v>31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ht="15.75" customHeight="1" x14ac:dyDescent="0.3">
      <c r="A195" s="15">
        <v>45782</v>
      </c>
      <c r="B195" s="2" t="s">
        <v>41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ht="15.75" customHeight="1" x14ac:dyDescent="0.3">
      <c r="A196" s="15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ht="15.75" customHeight="1" x14ac:dyDescent="0.3">
      <c r="A197" s="15">
        <v>45782</v>
      </c>
      <c r="B197" s="2" t="s">
        <v>25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ht="15.75" customHeight="1" x14ac:dyDescent="0.3">
      <c r="A198" s="15">
        <v>45789</v>
      </c>
      <c r="B198" s="2" t="s">
        <v>31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ht="15.75" customHeight="1" x14ac:dyDescent="0.3">
      <c r="A199" s="15">
        <v>45789</v>
      </c>
      <c r="B199" s="2" t="s">
        <v>41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ht="15.75" customHeight="1" x14ac:dyDescent="0.3">
      <c r="A200" s="15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ht="15.75" customHeight="1" x14ac:dyDescent="0.3">
      <c r="A201" s="15">
        <v>45789</v>
      </c>
      <c r="B201" s="2" t="s">
        <v>25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C1" workbookViewId="0">
      <selection activeCell="I2" sqref="I2"/>
    </sheetView>
  </sheetViews>
  <sheetFormatPr defaultColWidth="14.44140625" defaultRowHeight="15" customHeight="1" x14ac:dyDescent="0.3"/>
  <cols>
    <col min="1" max="1" width="19.21875" customWidth="1"/>
    <col min="2" max="2" width="20.88671875" customWidth="1"/>
    <col min="3" max="3" width="13.44140625" customWidth="1"/>
    <col min="4" max="4" width="21.5546875" customWidth="1"/>
    <col min="5" max="5" width="18.6640625" customWidth="1"/>
    <col min="6" max="6" width="16.44140625" customWidth="1"/>
    <col min="7" max="7" width="34.21875" customWidth="1"/>
    <col min="8" max="26" width="8.6640625" customWidth="1"/>
  </cols>
  <sheetData>
    <row r="1" spans="1:7" ht="14.4" x14ac:dyDescent="0.3">
      <c r="A1" s="10" t="s">
        <v>12</v>
      </c>
      <c r="B1" s="11" t="s">
        <v>577</v>
      </c>
      <c r="C1" s="11" t="s">
        <v>578</v>
      </c>
      <c r="D1" s="11" t="s">
        <v>579</v>
      </c>
      <c r="E1" s="11" t="s">
        <v>580</v>
      </c>
      <c r="F1" s="11" t="s">
        <v>581</v>
      </c>
      <c r="G1" s="11" t="s">
        <v>582</v>
      </c>
    </row>
    <row r="2" spans="1:7" ht="14.4" x14ac:dyDescent="0.3">
      <c r="A2" s="12" t="s">
        <v>18</v>
      </c>
      <c r="B2" s="12" t="s">
        <v>583</v>
      </c>
      <c r="C2" s="12" t="s">
        <v>309</v>
      </c>
      <c r="D2" s="12" t="s">
        <v>584</v>
      </c>
      <c r="E2" s="12">
        <v>150000</v>
      </c>
      <c r="F2" s="12" t="s">
        <v>585</v>
      </c>
      <c r="G2" s="12" t="s">
        <v>39</v>
      </c>
    </row>
    <row r="3" spans="1:7" ht="14.4" x14ac:dyDescent="0.3">
      <c r="A3" s="12" t="s">
        <v>23</v>
      </c>
      <c r="B3" s="12" t="s">
        <v>586</v>
      </c>
      <c r="C3" s="12" t="s">
        <v>42</v>
      </c>
      <c r="D3" s="12" t="s">
        <v>587</v>
      </c>
      <c r="E3" s="12">
        <v>200000</v>
      </c>
      <c r="F3" s="12" t="s">
        <v>588</v>
      </c>
      <c r="G3" s="12" t="s">
        <v>589</v>
      </c>
    </row>
    <row r="4" spans="1:7" ht="14.4" x14ac:dyDescent="0.3">
      <c r="A4" s="12" t="s">
        <v>29</v>
      </c>
      <c r="B4" s="12" t="s">
        <v>590</v>
      </c>
      <c r="C4" s="12" t="s">
        <v>224</v>
      </c>
      <c r="D4" s="12" t="s">
        <v>591</v>
      </c>
      <c r="E4" s="12">
        <v>250000</v>
      </c>
      <c r="F4" s="12" t="s">
        <v>592</v>
      </c>
      <c r="G4" s="12" t="s">
        <v>593</v>
      </c>
    </row>
    <row r="5" spans="1:7" ht="14.4" x14ac:dyDescent="0.3">
      <c r="A5" s="12" t="s">
        <v>36</v>
      </c>
      <c r="B5" s="12" t="s">
        <v>594</v>
      </c>
      <c r="C5" s="12" t="s">
        <v>574</v>
      </c>
      <c r="D5" s="12" t="s">
        <v>595</v>
      </c>
      <c r="E5" s="12">
        <v>180000</v>
      </c>
      <c r="F5" s="12" t="s">
        <v>596</v>
      </c>
      <c r="G5" s="12" t="s">
        <v>597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24065-E7BD-43BB-9BAF-3FB4B7D48B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Task1</vt:lpstr>
      <vt:lpstr>Task2</vt:lpstr>
      <vt:lpstr>Task3</vt:lpstr>
      <vt:lpstr>Task4</vt:lpstr>
      <vt:lpstr>Task6</vt:lpstr>
      <vt:lpstr>Posts</vt:lpstr>
      <vt:lpstr>Campaign analysis Task5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suyash kedare</cp:lastModifiedBy>
  <dcterms:created xsi:type="dcterms:W3CDTF">2026-03-12T18:39:35Z</dcterms:created>
  <dcterms:modified xsi:type="dcterms:W3CDTF">2026-03-13T20:00:35Z</dcterms:modified>
</cp:coreProperties>
</file>